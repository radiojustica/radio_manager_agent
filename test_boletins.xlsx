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GERAL" sheetId="1" r:id="rId5"/>
    <sheet state="visible" name="JUN2026" sheetId="2" r:id="rId6"/>
    <sheet state="visible" name="MAI2026" sheetId="3" r:id="rId7"/>
    <sheet state="visible" name="ABR2026" sheetId="4" r:id="rId8"/>
    <sheet state="visible" name="MAR2026" sheetId="5" r:id="rId9"/>
    <sheet state="visible" name="FEV2026" sheetId="6" r:id="rId10"/>
    <sheet state="visible" name="JAN2026" sheetId="7" r:id="rId11"/>
  </sheets>
  <definedNames/>
  <calcPr/>
</workbook>
</file>

<file path=xl/sharedStrings.xml><?xml version="1.0" encoding="utf-8"?>
<sst xmlns="http://schemas.openxmlformats.org/spreadsheetml/2006/main" count="6768" uniqueCount="3482">
  <si>
    <t>🎯 CENTRAL DE PRODUÇÃO - META 2400 BOLETINS / 2026</t>
  </si>
  <si>
    <t>🎯 META ANUAL</t>
  </si>
  <si>
    <t>📝 TEXTOS PROD.</t>
  </si>
  <si>
    <t>🎙️ ÁUDIOS EDIT.</t>
  </si>
  <si>
    <t>⚠️ GAP TOTAL</t>
  </si>
  <si>
    <t>MÊS</t>
  </si>
  <si>
    <t>🎯 META (EDITÁVEL)</t>
  </si>
  <si>
    <t>TEXTOS</t>
  </si>
  <si>
    <t>ÁUDIOS</t>
  </si>
  <si>
    <t>GAP</t>
  </si>
  <si>
    <t>% REDAÇÃO</t>
  </si>
  <si>
    <t>BARRA RED.</t>
  </si>
  <si>
    <t>BARRA EDIT.</t>
  </si>
  <si>
    <t>✅ SINCRONIZADO</t>
  </si>
  <si>
    <t>← Clique p/ atualizar</t>
  </si>
  <si>
    <t>🗓️ D. ÚTEIS</t>
  </si>
  <si>
    <t>🎯 META MÊS</t>
  </si>
  <si>
    <t>📝 TEXTOS</t>
  </si>
  <si>
    <t>🎙️ ÁUDIOS</t>
  </si>
  <si>
    <t>⚠️ GAP (RED-EDIT)</t>
  </si>
  <si>
    <t>📉 FALTAM META</t>
  </si>
  <si>
    <t>📊 ACUM. ANO</t>
  </si>
  <si>
    <t>CAMINHO</t>
  </si>
  <si>
    <t>NOME DO ARQUIVO</t>
  </si>
  <si>
    <t>REDATOR</t>
  </si>
  <si>
    <t>LOCUTOR (+MAIL)</t>
  </si>
  <si>
    <t>EDITOR (+EDIT)</t>
  </si>
  <si>
    <t>NJUD</t>
  </si>
  <si>
    <t>NOME ARQUIVO EDIÇÃO</t>
  </si>
  <si>
    <t>URL DO ARQUIVO</t>
  </si>
  <si>
    <t>DATA CRIAÇÃO</t>
  </si>
  <si>
    <t>B5- CONDENAÇÃO EMPRESA ENERGIA SOLAR</t>
  </si>
  <si>
    <t>LET</t>
  </si>
  <si>
    <t>BOLETIM_RADIO_TJRN_18_06_2026_B5_CONDENACAO_EMPRESA_ENERGIA_SOLAR</t>
  </si>
  <si>
    <t>17/06/2026</t>
  </si>
  <si>
    <t>B4- DIPLOMA APROVAÇÃO NÍVEL TÉCNICO</t>
  </si>
  <si>
    <t>BOLETIM_RADIO_TJRN_18_06_2026_B4_DIPLOMA_APROVACAO_NIVEL_TECNICO</t>
  </si>
  <si>
    <t>B3- MUNICÍPIO CONDENADO A PAGAMENTO</t>
  </si>
  <si>
    <t>BOLETIM_RADIO_TJRN_18_06_2026_B3_MUNICIPIO_CONDENADO_A_PAGAMENTO</t>
  </si>
  <si>
    <t>https://docs.google.com/document/d/13paehEdDUaJ5aVRPJZaTQvPcg157RoTcXcipxfsjUZg/edit?usp=drivesdk</t>
  </si>
  <si>
    <t>B2- ESTÁGIO CE-MULHER</t>
  </si>
  <si>
    <t>BOLETIM_RADIO_TJRN_18_06_2026_B2_ESTAGIO_CE_MULHER</t>
  </si>
  <si>
    <t>https://docs.google.com/document/d/1wjz0IGR42u_vRUsEgQjgj1DdQFLKArfMe6Wr7-_8oXk/edit?usp=drivesdk</t>
  </si>
  <si>
    <t>B1- SEMANA JUIZADOS PALESTRA</t>
  </si>
  <si>
    <t>BOLETIM_RADIO_TJRN_18_06_2026_B1_SEMANA_JUIZADOS_PALESTRA</t>
  </si>
  <si>
    <t>https://docs.google.com/document/d/1WmDLkKLp9ch_4iAUyDIPJSX5AoUDrtu08vIBdXxmA08/edit?usp=drivesdk</t>
  </si>
  <si>
    <t>B11- SELEÇÃO ESTÁGIO JUIZADOS ADM</t>
  </si>
  <si>
    <t>BOLETIM_RADIO_TJRN_17_06_2026_B11_SELECAO_ESTAGIO_JUIZADOS_ADM</t>
  </si>
  <si>
    <t>https://docs.google.com/document/d/1G5jEeywdu7p3HuqGmqI65aypxDdwDGdaqZLNSBwOjO8/edit?usp=drivesdk</t>
  </si>
  <si>
    <t>16/06/2026</t>
  </si>
  <si>
    <t>B10- SELEÇÃO TABELIÃO FRUTOSO GOMES</t>
  </si>
  <si>
    <t>BOLETIM_RADIO_TJRN_17_06_2026_B10_SELECAO_TABELIAO_FRUTOSO_GOMES</t>
  </si>
  <si>
    <t>https://docs.google.com/document/d/1dwSZzVL__KpWuulpovO1JkHV0MVxu0Zy73EWdjxMzYw/edit?usp=drivesdk</t>
  </si>
  <si>
    <t>B9- ESTÁGIO 15ª VARA CÍVEL</t>
  </si>
  <si>
    <t>BOLETIM_RADIO_TJRN_17_06_2026_B9_ESTAGIO_15_VARA_CIVEL</t>
  </si>
  <si>
    <t>https://docs.google.com/document/d/18baLr1xSpQiusGJlSETexhyT-OEtTQj1FdEF9GJshUI/edit?usp=drivesdk</t>
  </si>
  <si>
    <t>B8- CEARÁ-MIRIM DEVE GARANTIR RESSONÂNCIA</t>
  </si>
  <si>
    <t>BOLETIM_RADIO_TJRN_17_06_2026_B8_CEARA_MIRIM_DEVE_GARANTIR_RESSONANCIA</t>
  </si>
  <si>
    <t>https://docs.google.com/document/d/11XBT6AEVfRz6GHOOf9qb7ZpR0dTB7hhhk_c_vhcz7nQ/edit?usp=drivesdk</t>
  </si>
  <si>
    <t>B7- TJRN CONVOCA QUATRO APROVADOS</t>
  </si>
  <si>
    <t>BOLETIM_RADIO_TJRN_17_06_2026_B7_TJRN_CONVOCA_QUATRO_APROVADOS</t>
  </si>
  <si>
    <t>https://docs.google.com/document/d/1kFDX8HKfMUg3ZZjjffiaQXmUHS01kzNWcwUvnH2FMus/edit?usp=drivesdk</t>
  </si>
  <si>
    <t>B6- SEMANA JUIZADOS ESPECIAIS</t>
  </si>
  <si>
    <t>BOLETIM_RADIO_TJRN_17_06_2026_B6_SEMANA_JUIZADOS_ESPECIAIS</t>
  </si>
  <si>
    <t>https://docs.google.com/document/d/1tjXM_cHJPPZPUzLy3toYsPM1QyRT3YU-51k8wzj8gNo/edit?usp=drivesdk</t>
  </si>
  <si>
    <t>B5- DECISÃO QUEDA SUPERMERCADO</t>
  </si>
  <si>
    <t>THI ✔</t>
  </si>
  <si>
    <t>BOLETIM_RADIO_TJRN_17_06_2026_B5_DECISAO_QUEDA_SUPERMERCADO</t>
  </si>
  <si>
    <t>https://docs.google.com/document/d/1dm5hzGDACssLafrMSVcu_YS78vz4S7TSWn-3l37xZtw/edit?usp=drivesdk</t>
  </si>
  <si>
    <t>15/06/2026</t>
  </si>
  <si>
    <t>B4- DECISÃO CRÍTICAS REDES SOCIAIS</t>
  </si>
  <si>
    <t>BOLETIM_RADIO_TJRN_17_06_2026_B4_DECISAO_CRITICAS_REDES_SOCIAIS</t>
  </si>
  <si>
    <t>https://docs.google.com/document/d/1bD9DaljH8eXulDCngW3UG95cQpCIXFip3JfikzTnFuQ/edit?usp=drivesdk</t>
  </si>
  <si>
    <t>B3- NEGADA COBRANÇA RETROATIVA DE ABONO SALARIAL</t>
  </si>
  <si>
    <t>BOLETIM_RADIO_TJRN_17_06_2026_B3_NEGADA_COBRANCA_RETROATIVA_DE_ABONO_SALARIAL</t>
  </si>
  <si>
    <t>https://docs.google.com/document/d/1D7Zk5XIZFNrix0Ewq7rIqY5bBIFv0MtAGBD_7B9Hal0/edit?usp=drivesdk</t>
  </si>
  <si>
    <t>B2- PRISÃO POR QUANTIDADE DE ENTORPECENTES</t>
  </si>
  <si>
    <t>BOLETIM_RADIO_TJRN_17_06_2026_B2_PRISAO_POR_QUANTIDADE_DE_ENTORPECENTES</t>
  </si>
  <si>
    <t>https://docs.google.com/document/d/1Xi-v4z4vulrckziZX431qT1ArznNetBJt7IgiZ0vfs8/edit?usp=drivesdk</t>
  </si>
  <si>
    <t>B1- RESTITUIÇÃO POR FALHA EM CANCELAMENTO</t>
  </si>
  <si>
    <t>BOLETIM_RADIO_TJRN_17_06_2026_B1_RESTITUICAO_POR_FALHA_EM_CANCELAMENTO</t>
  </si>
  <si>
    <t>https://docs.google.com/document/d/1RjsFeGKCOjAKvRyivwcyDov4NCvH-0IAE52USBfJaAM/edit?usp=drivesdk</t>
  </si>
  <si>
    <t>B11- TJRN CONSULTA PÚBLICA 2027</t>
  </si>
  <si>
    <t>BOLETIM_RADIO_TJRN_16_06_2026_B11_TJRN_CONSULTA_PUBLICA_2027</t>
  </si>
  <si>
    <t>https://docs.google.com/document/d/1KsKHbMK_NoUlmvyjpfaCe5NVEZkj--EpuaAOfxYvQu8/edit?usp=drivesdk</t>
  </si>
  <si>
    <t xml:space="preserve">B10 - MPRN ACORDO GARANTIR ACESSIBILIDADE ESCOLAS </t>
  </si>
  <si>
    <t>LEO</t>
  </si>
  <si>
    <t>BOLETIM_RADIO_TJRN_16_06_2026_B10_MPRN_ACORDO_GARANTIR_ACESSIBILIDADE_ESCOLAS_</t>
  </si>
  <si>
    <t>https://docs.google.com/document/d/1X4puXffR8_9yNS3jpU3lm7uI1uWiWHPIwJ2YLq2wHkw/edit?usp=drivesdk</t>
  </si>
  <si>
    <t xml:space="preserve">B9- TJRN IDOSO 63 ANOS CONSEGUE REGISTRO </t>
  </si>
  <si>
    <t>BOLETIM_RADIO_TJRN_16_06_2026_B9_TJRN_IDOSO_63_ANOS_CONSEGUE_REGISTRO_</t>
  </si>
  <si>
    <t>https://docs.google.com/document/d/1q_ZggSqHFT56t6xGu9sFDRnZl_-73Jb-pt4qwLF_9ns/edit?usp=drivesdk</t>
  </si>
  <si>
    <t>B8- SELEÇÃO TABELIÃES MARCELINO VIEIRA</t>
  </si>
  <si>
    <t>BOLETIM_RADIO_TJRN_16_06_2026_B8_SELECAO_TABELIAES_MARCELINO_VIEIRA</t>
  </si>
  <si>
    <t>https://docs.google.com/document/d/1Lvi20kyi0Z_R0h_PHPPzSHoTtBm6J6IeRqqggrPyN84/edit?usp=drivesdk</t>
  </si>
  <si>
    <t>B7- DECISÃO PLANO DE SAÚDE DERMATITE</t>
  </si>
  <si>
    <t>BOLETIM_RADIO_TJRN_16_06_2026_B7_DECISAO_PLANO_DE_SAUDE_DERMATITE</t>
  </si>
  <si>
    <t>https://docs.google.com/document/d/1Gn8XWqlgTIfgoGKNW5PZpWxP_kT9D-RTWEwb_wKuYZk/edit?usp=drivesdk</t>
  </si>
  <si>
    <t>B6- DECISÃO COTAS CONCURSO</t>
  </si>
  <si>
    <t>BOLETIM_RADIO_TJRN_16_06_2026_B6_DECISAO_COTAS_CONCURSO</t>
  </si>
  <si>
    <t>https://docs.google.com/document/d/1w67yVbbUSfC7pO8cBKUvSBurg9q3b9Vpzs8GXK1ZPJs/edit?usp=drivesdk</t>
  </si>
  <si>
    <t>B5- TJRN CURSO COMPLIANCE</t>
  </si>
  <si>
    <t>BOLETIM_RADIO_TJRN_16_06_2026_B5_TJRN_CURSO_COMPLIANCE</t>
  </si>
  <si>
    <t>https://docs.google.com/document/d/1qmoUC0umIzKZ_mLa_g_C33Io5ILD2iZGpZVjj6q7fQI/edit?usp=drivesdk</t>
  </si>
  <si>
    <t>B4- TOTEM ATENDIMENTO CLARO</t>
  </si>
  <si>
    <t>BOLETIM_RADIO_TJRN_16_06_2026_B4_TOTEM_ATENDIMENTO_CLARO</t>
  </si>
  <si>
    <t>https://docs.google.com/document/d/1Avg0skOna6gDDJQaKb2PEWYRIhTDMZESdQMJKmhZsIs/edit?usp=drivesdk</t>
  </si>
  <si>
    <t>B3- SUSPENSÃO REDE SOCIAL INDENIZAÇÃO</t>
  </si>
  <si>
    <t>BOLETIM_RADIO_TJRN_16_06_2026_B3_SUSPENSAO_REDE_SOCIAL_INDENIZACAO</t>
  </si>
  <si>
    <t>https://docs.google.com/document/d/14nhsKkzzOxIsjeh7VnW7yPakEM6mBAh9W7iwWlDvzv8/edit?usp=drivesdk</t>
  </si>
  <si>
    <t>B2- PEDIDO DE PRIORIDADE PRECATÓRIOS</t>
  </si>
  <si>
    <t>BOLETIM_RADIO_TJRN_16_06_2026_B2_PEDIDO_DE_PRIORIDADE_PRECATORIOS</t>
  </si>
  <si>
    <t>https://docs.google.com/document/d/14KqSPdMNOPibkbpO1w3McXzxy7JuxdZ3RC5Ph7lE7sc/edit?usp=drivesdk</t>
  </si>
  <si>
    <t>B1- VISITA SOCIAL APENADO</t>
  </si>
  <si>
    <t>BOLETIM_RADIO_TJRN_16_06_2026_B1_VISITA_SOCIAL_APENADO</t>
  </si>
  <si>
    <t>https://docs.google.com/document/d/1eU6ZfuAR2LO5dMNppTxTZsM5xCeU2C9BVDxLQ8RieDg/edit?usp=drivesdk</t>
  </si>
  <si>
    <t>B11- HOMEM CONDENADO POR DIFAMAR TIA</t>
  </si>
  <si>
    <t>BOLETIM_RADIO_TJRN_15_06_2026_B11_HOMEM_CONDENADO_POR_DIFAMAR_TIA</t>
  </si>
  <si>
    <t>https://docs.google.com/document/d/1i93qzixqy8AlmlcHf0403zXOzz1KPpojOBklygdZG9M/edit?usp=drivesdk</t>
  </si>
  <si>
    <t>B10- OFÍCIO ÚNICO FERNANDO PEDROZA</t>
  </si>
  <si>
    <t>BOLETIM_RADIO_TJRN_15_06_2026_B10_OFICIO_UNICO_FERNANDO_PEDROZA</t>
  </si>
  <si>
    <t>https://docs.google.com/document/d/1LQBEmyK0xlNIohDHqsBZNGE_BEbZ3LFJ9PQBf_966Eo/edit?usp=drivesdk</t>
  </si>
  <si>
    <t>B9- EMPRESA DEVE REEMBOLSAR PASSAGENS</t>
  </si>
  <si>
    <t>BOLETIM_RADIO_TJRN_15_06_2026_B9_EMPRESA_DEVE_REEMBOLSAR_PASSAGENS</t>
  </si>
  <si>
    <t>https://docs.google.com/document/d/15bzvgxA4Owf8HeYgZnDCDkTdl_QPAMunWnXhIEEYQis/edit?usp=drivesdk</t>
  </si>
  <si>
    <t>B8- CONSTRUTORAS CONDENADAS EM MOSSORÓ</t>
  </si>
  <si>
    <t>BOLETIM_RADIO_TJRN_15_06_2026_B8_CONSTRUTORAS_CONDENADAS_EM_MOSSORO</t>
  </si>
  <si>
    <t>https://docs.google.com/document/d/1wpJ6Oi6xkIfVDfJdYSKDLJUEMCer0hw-t9tpTweePiA/edit?usp=drivesdk</t>
  </si>
  <si>
    <t>B7- ESTÁGIO VARA CÍVEL MOSSORÓ</t>
  </si>
  <si>
    <t>BOLETIM_RADIO_TJRN_15_06_2026_B7_ESTAGIO_VARA_CIVEL_MOSSORO</t>
  </si>
  <si>
    <t>https://docs.google.com/document/d/1NCbp75Z7GWUnjcrmpDjADXBpGMni4uHb3vaGb9S7_os/edit?usp=drivesdk</t>
  </si>
  <si>
    <t>B6- COSERN CONDENADA POR DANOS MORAIS</t>
  </si>
  <si>
    <t>BOLETIM_RADIO_TJRN_15_06_2026_B6_COSERN_CONDENADA_POR_DANOS_MORAIS</t>
  </si>
  <si>
    <t>https://docs.google.com/document/d/1VYa65-gMKIs-uNJ3-h-EeM4WDHVaMgYbnMN0ozgbwFQ/edit?usp=drivesdk</t>
  </si>
  <si>
    <t>B5- CASAL CONDENADO POR AGRESSÃO</t>
  </si>
  <si>
    <t>BOLETIM_RADIO_TJRN_15_06_2026_B5_CASAL_CONDENADO_POR_AGRESSAO</t>
  </si>
  <si>
    <t>https://docs.google.com/document/d/1MF5sW11gl-Pqa2nGuALZ_EYOaDSNn8VQqad_pr3xdhw/edit?usp=drivesdk</t>
  </si>
  <si>
    <t>B4- DESCONTOS INDEVIDOS APOSENTADA</t>
  </si>
  <si>
    <t>BOLETIM_RADIO_TJRN_15_06_2026_B4_DESCONTOS_INDEVIDOS_APOSENTADA</t>
  </si>
  <si>
    <t>https://docs.google.com/document/d/1Jfo-r2mNZlkgyHpc6lZlzFcCoTqavAbYn9hN61C_eas/edit?usp=drivesdk</t>
  </si>
  <si>
    <t>B3- PENAS PECUNIÁRIAS DE ACARI</t>
  </si>
  <si>
    <t>BOLETIM_RADIO_TJRN_15_06_2026_B3_PENAS_PECUNIARIAS_DE_ACARI</t>
  </si>
  <si>
    <t>https://docs.google.com/document/d/1Ax-gIcmScB8JkDLI63oSp_dGj_jr2ckn4LRApkz7iYw/edit?usp=drivesdk</t>
  </si>
  <si>
    <t>B2- MUNICÍPIO CONDENADO POR BLOQUEIO</t>
  </si>
  <si>
    <t>BOLETIM_RADIO_TJRN_15_06_2026_B2_MUNICIPIO_CONDENADO_POR_BLOQUEIO</t>
  </si>
  <si>
    <t>https://docs.google.com/document/d/1ZTdJFQf9trX_2jNPcUj_pMtTQWRfbstudFVpTG-e-l8/edit?usp=drivesdk</t>
  </si>
  <si>
    <t>B1- MOTORISTA CONDENADA POR QUEDA</t>
  </si>
  <si>
    <t>BOLETIM_RADIO_TJRN_15_06_2026_B1_MOTORISTA_CONDENADA_POR_QUEDA</t>
  </si>
  <si>
    <t>https://docs.google.com/document/d/1174YH0KkwJHUMDYiYIvVPMFzjv_BHjZu-l5R99sOem0/edit?usp=drivesdk</t>
  </si>
  <si>
    <t xml:space="preserve">B11- TRT/RN ELETRICISTA ACIDENTADO </t>
  </si>
  <si>
    <t>BOLETIM_RADIO_TJRN_12_06_2026_B11_TRTRN_ELETRICISTA_ACIDENTADO_</t>
  </si>
  <si>
    <t>https://docs.google.com/document/d/1T61ulSR5BvHLp5pK8BdKMnr3MgSp4K1akZ4sC0a0udg/edit?usp=drivesdk</t>
  </si>
  <si>
    <t xml:space="preserve">B10 - TRT-RN VISITA CAIXA ECONÔMICA </t>
  </si>
  <si>
    <t>BOLETIM_RADIO_TJRN_12_06_2026_B10_TRT_RN_VISITA_CAIXA_ECONOMICA_</t>
  </si>
  <si>
    <t>https://docs.google.com/document/d/1NpdedQ1b73MpPHavce-sz3vl9NEndLNniq4kwq3W_c4/edit?usp=drivesdk</t>
  </si>
  <si>
    <t xml:space="preserve">B9- MPRN OBTEM CONDENAÇÃO HOMEM 21 ANOS </t>
  </si>
  <si>
    <t>BOLETIM_RADIO_TJRN_12_06_2026_B9_MPRN_OBTEM_CONDENACAO_HOMEM_21_ANOS_</t>
  </si>
  <si>
    <t>https://docs.google.com/document/d/1CtPEsCHj0_7fY6Aw4WVXgUQO28CnGnzIDK51nCTPXwQ/edit?usp=drivesdk</t>
  </si>
  <si>
    <t>B8- TJRN CONSUMIDORA INDENIZADA PROMESSAS FALSAS</t>
  </si>
  <si>
    <t>BOLETIM_RADIO_TJRN_12_06_2026_B8_TJRN_CONSUMIDORA_INDENIZADA_PROMESSAS_FALSAS</t>
  </si>
  <si>
    <t>https://docs.google.com/document/d/1E2WV62dab59o-px42O-NfHJKkV--3quViWRE5Ianews/edit?usp=drivesdk</t>
  </si>
  <si>
    <t>B7- TJRN ATENDIMENTO DOMICILIAR IDOSO ALZHEIMER</t>
  </si>
  <si>
    <t>BOLETIM_RADIO_TJRN_12_06_2026_B7_TJRN_ATENDIMENTO_DOMICILIAR_IDOSO_ALZHEIMER</t>
  </si>
  <si>
    <t>https://docs.google.com/document/d/1GWQgh9jfe9pJAnMynGNnt88p66JBg6kFG2a8hmUarD8/edit?usp=drivesdk</t>
  </si>
  <si>
    <t xml:space="preserve">B6- TJRN REVOGADA PROGRESSÃO DE REGIME </t>
  </si>
  <si>
    <t>BOLETIM_RADIO_TJRN_12_06_2026_B6_TJRN_REVOGADA_PROGRESSAO_DE_REGIME_</t>
  </si>
  <si>
    <t>https://docs.google.com/document/d/1FaIMLL57okEPKSrHKBrZsuYSYy3AzmYT95F_0mJANNg/edit?usp=drivesdk</t>
  </si>
  <si>
    <t>B5- TJRN PLANO SAÚDE OBRIGADO CUSTER TERAPIAS</t>
  </si>
  <si>
    <t>BOLETIM_RADIO_TJRN_12_06_2026_B5_TJRN_PLANO_SAUDE_OBRIGADO_CUSTER_TERAPIAS</t>
  </si>
  <si>
    <t>https://docs.google.com/document/d/1XTeCamvaQAITXDZ9rSZOyQiIFyzoKfWkW0JcUwXMvkM/edit?usp=drivesdk</t>
  </si>
  <si>
    <t>B4- TJRN VISITA AÉREA CONFLITO 15 ANOS</t>
  </si>
  <si>
    <t>BOLETIM_RADIO_TJRN_12_06_2026_B4_TJRN_VISITA_AEREA_CONFLITO_15_ANOS</t>
  </si>
  <si>
    <t>https://docs.google.com/document/d/1p3PtyAsssJaQWB63-wvBuZE6ju7BIm36fIgqYQ3NQ-Y/edit?usp=drivesdk</t>
  </si>
  <si>
    <t xml:space="preserve">B3- TJRN VARA EXECUÇÃO FISCAL RESULTADO </t>
  </si>
  <si>
    <t>BOLETIM_RADIO_TJRN_12_06_2026_B3_TJRN_VARA_EXECUCAO_FISCAL_RESULTADO_</t>
  </si>
  <si>
    <t>https://docs.google.com/document/d/1VdxmY6WhVzs-3XzdOhiLuWfYasSaJGJFxaWs0Zw-6ac/edit?usp=drivesdk</t>
  </si>
  <si>
    <t>B2- TJRN COMARCA ASSÚ INTERINO</t>
  </si>
  <si>
    <t>BOLETIM_RADIO_TJRN_12_06_2026_B2_TJRN_COMARCA_ASSU_INTERINO</t>
  </si>
  <si>
    <t>https://docs.google.com/document/d/1LSN6_NYnv_ZoLOLO0_01cNldMK5WbRm12W53PT2ne_k/edit?usp=drivesdk</t>
  </si>
  <si>
    <t>B1- TJRN COMISSÃO VISITA TÉCNICA PEDRA GRANDE</t>
  </si>
  <si>
    <t>BOLETIM_RADIO_TJRN_12_06_2026_B1_TJRN_COMISSAO_VISITA_TECNICA_PEDRA_GRANDE</t>
  </si>
  <si>
    <t>https://docs.google.com/document/d/1-twpewrqfADeoVzLNfR7YAXB1-m6IN5YdytWxaqmmqQ/edit?usp=drivesdk</t>
  </si>
  <si>
    <t xml:space="preserve">B11- OAB/RN INAUGURAÇÃO SALA CURRAIS NOVOS </t>
  </si>
  <si>
    <t>BOLETIM_RADIO_TJRN_11_06_2026_B11_OABRN_INAUGURACAO_SALA_CURRAIS_NOVOS_</t>
  </si>
  <si>
    <t>https://docs.google.com/document/d/1zoo6V1TZhAm0xeTsxh2efvbf3S0J_wu9SwlFgro5iM8/edit?usp=drivesdk</t>
  </si>
  <si>
    <t xml:space="preserve">B10- DPERN GARANTE DIREITOS CRIANÇA </t>
  </si>
  <si>
    <t>BOLETIM_RADIO_TJRN_11_06_2026_B10_DPERN_GARANTE_DIREITOS_CRIANCA_</t>
  </si>
  <si>
    <t>https://docs.google.com/document/d/15ho3J6SAlJUyRLVm6wROJyJtHLtD-GYzHuAdzf5kdAA/edit?usp=drivesdk</t>
  </si>
  <si>
    <t>B9- TJRN CONDENA DUPLA POR ROUBO</t>
  </si>
  <si>
    <t>BOLETIM_RADIO_TJRN_11_06_2026_B9_TJRN_CONDENA_DUPLA_POR_ROUBO</t>
  </si>
  <si>
    <t>https://docs.google.com/document/d/1IY0bnPbq-uQtT-aDaTONJXEDT6_NaGH-OhV1_1JUS5g/edit?usp=drivesdk</t>
  </si>
  <si>
    <t>B8- ESMARN RETIFICAÇÃO EDITAL</t>
  </si>
  <si>
    <t>BOLETIM_RADIO_TJRN_11_06_2026_B8_ESMARN_RETIFICACAO_EDITAL</t>
  </si>
  <si>
    <t>https://docs.google.com/document/d/1Tvo2phHZSq3wjevqyD2tS7fqUR4eCN86ay5UYGRjIQk/edit?usp=drivesdk</t>
  </si>
  <si>
    <t>B7- TJRN AUDIÊNCIA PÚBLICA NACIONAL</t>
  </si>
  <si>
    <t>BOLETIM_RADIO_TJRN_11_06_2026_B7_TJRN_AUDIENCIA_PUBLICA_NACIONAL</t>
  </si>
  <si>
    <t>https://docs.google.com/document/d/1F85CKZLNQAeIkq8tbYHQZl0USrnfs98DHVjX0DUzQFw/edit?usp=drivesdk</t>
  </si>
  <si>
    <t xml:space="preserve">B6- TJRN DETERMINA EMPRESA RESTITUIÇÃO </t>
  </si>
  <si>
    <t>BOLETIM_RADIO_TJRN_11_06_2026_B6_TJRN_DETERMINA_EMPRESA_RESTITUICAO_</t>
  </si>
  <si>
    <t>https://docs.google.com/document/d/1EAZ9uC9eV0jQ2_9EwX2qNtcQuX4N_B3AZfoFYEPrq9I/edit?usp=drivesdk</t>
  </si>
  <si>
    <t>B5- TJRN CORREGEDORIA CORREIÇÕES</t>
  </si>
  <si>
    <t>BOLETIM_RADIO_TJRN_11_06_2026_B5_TJRN_CORREGEDORIA_CORREICOES</t>
  </si>
  <si>
    <t>https://docs.google.com/document/d/1B0sUHBo2TB5S68P6touMLGOUReQoW6LiGsk8l0qpPxc/edit?usp=drivesdk</t>
  </si>
  <si>
    <t>B4- TJRN TRATAMENTO REDE CREDENCIADA RESSARCIMENTO</t>
  </si>
  <si>
    <t>BOLETIM_RADIO_TJRN_11_06_2026_B4_TJRN_TRATAMENTO_REDE_CREDENCIADA_RESSARCIMENTO</t>
  </si>
  <si>
    <t>https://docs.google.com/document/d/11hNbvGkawrGvyewMRBpgP2z_VgQTLgmUHHtmTY4iCbg/edit?usp=drivesdk</t>
  </si>
  <si>
    <t>B3- TJRN NEGADO PEDIDO REVISÃO CONDENADO</t>
  </si>
  <si>
    <t>BOLETIM_RADIO_TJRN_11_06_2026_B3_TJRN_NEGADO_PEDIDO_REVISAO_CONDENADO</t>
  </si>
  <si>
    <t>https://docs.google.com/document/d/1st9xieFkqflvCFZpTA_Esv5yKKTbE-vVBGNqui1lMzA/edit?usp=drivesdk</t>
  </si>
  <si>
    <t>B2- TJRN PANDEMIA REDUÇÃO MENSALIDADE</t>
  </si>
  <si>
    <t>BOLETIM_RADIO_TJRN_11_06_2026_B2_TJRN_PANDEMIA_REDUCAO_MENSALIDADE</t>
  </si>
  <si>
    <t>https://docs.google.com/document/d/1IEO_lRLo6MzqScF5Dz9RCN1h0Jt-lt7dp79k2WDgOOo/edit?usp=drivesdk</t>
  </si>
  <si>
    <t xml:space="preserve">B1- TJRN SEMANA JUIZADOS ESPECIAIS </t>
  </si>
  <si>
    <t>BOLETIM_RADIO_TJRN_11_06_2026_B1_TJRN_SEMANA_JUIZADOS_ESPECIAIS_</t>
  </si>
  <si>
    <t>https://docs.google.com/document/d/1bprRrWRd7B0eh6emKzsOUxW5XXdI8lJjYmrkMBFsr18/edit?usp=drivesdk</t>
  </si>
  <si>
    <t>B11- DPERN AÇÃO COLETIVA CONCURSO PM</t>
  </si>
  <si>
    <t>BOLETIM_RADIO_TJRN_10_06_2026_B11_DPERN_ACAO_COLETIVA_CONCURSO_PM</t>
  </si>
  <si>
    <t>https://docs.google.com/document/d/1BMO2PV9r0rLv-acma5eHQ_1aOt7niAywfjOLboqVS1I/edit?usp=drivesdk</t>
  </si>
  <si>
    <t xml:space="preserve">B10- TRT/RN REUNIÃO NEGOCIAÇÃO URBANA </t>
  </si>
  <si>
    <t>BOLETIM_RADIO_TJRN_10_06_2026_B10_TRTRN_REUNIAO_NEGOCIACAO_URBANA_</t>
  </si>
  <si>
    <t>https://docs.google.com/document/d/16fZ2PUpDk5yfxoKKR47DVyW6R2siX3NLXFgAc9v8IDM/edit?usp=drivesdk</t>
  </si>
  <si>
    <t xml:space="preserve">B9- TJRN NOVA FERRAMENTA IA DEMANDAS </t>
  </si>
  <si>
    <t>BOLETIM_RADIO_TJRN_10_06_2026_B9_TJRN_NOVA_FERRAMENTA_IA_DEMANDAS_</t>
  </si>
  <si>
    <t>https://docs.google.com/document/d/1BGtTMp0QuwKtNdXo37IjD8RIPfgzp81w5MmZ6dmBNLY/edit?usp=drivesdk</t>
  </si>
  <si>
    <t xml:space="preserve">B8- TJRN EMPRESA CONDENADA NOME HOMEM SOCIO </t>
  </si>
  <si>
    <t>BOLETIM_RADIO_TJRN_10_06_2026_B8_TJRN_EMPRESA_CONDENADA_NOME_HOMEM_SOCIO_</t>
  </si>
  <si>
    <t>https://docs.google.com/document/d/1lLa59Ny9PWLYJoY4FtbanS5iwCQEzWoJabUz9F1HMsA/edit?usp=drivesdk</t>
  </si>
  <si>
    <t>B7- TJRN PLANO SAÚDE CUSTEAR</t>
  </si>
  <si>
    <t>BOLETIM_RADIO_TJRN_10_06_2026_B7_TJRN_PLANO_SAUDE_CUSTEAR</t>
  </si>
  <si>
    <t>https://docs.google.com/document/d/1OynKStm6Qzmc7YQ49bLB33oO3Pi8XT_pN9HVBpSY1gw/edit?usp=drivesdk</t>
  </si>
  <si>
    <t>B6- TJRN PASTOR CONHECIDO PEDIDO NEGADO</t>
  </si>
  <si>
    <t>BOLETIM_RADIO_TJRN_10_06_2026_B6_TJRN_PASTOR_CONHECIDO_PEDIDO_NEGADO</t>
  </si>
  <si>
    <t>https://docs.google.com/document/d/1IwF2h218Fujz8dxGSUwp_uG27yYCggnTIu21y84wIns/edit?usp=drivesdk</t>
  </si>
  <si>
    <t xml:space="preserve">B5- TJRN NATAL CONDENADO SHOW </t>
  </si>
  <si>
    <t>BOLETIM_RADIO_TJRN_10_06_2026_B5_TJRN_NATAL_CONDENADO_SHOW_</t>
  </si>
  <si>
    <t>https://docs.google.com/document/d/1NrDl4MTr6nkS-sBJBQyvak8z1orWrzt_PEJbAmBeIes/edit?usp=drivesdk</t>
  </si>
  <si>
    <t>B4- TJRN MAIS 22 MIL PESSOAS ENAM</t>
  </si>
  <si>
    <t>BOLETIM_RADIO_TJRN_10_06_2026_B4_TJRN_MAIS_22_MIL_PESSOAS_ENAM</t>
  </si>
  <si>
    <t>https://docs.google.com/document/d/1YNu-r_ldke0bj2bQIoWnrYuV3bwpMwK9W9Lzjt-Atog/edit?usp=drivesdk</t>
  </si>
  <si>
    <t xml:space="preserve">B3- TJRN FERRAMENTA DESENVOLVIDA </t>
  </si>
  <si>
    <t>BOLETIM_RADIO_TJRN_10_06_2026_B3_TJRN_FERRAMENTA_DESENVOLVIDA_</t>
  </si>
  <si>
    <t>https://docs.google.com/document/d/1icgUGpG8SdlkB8kA31-ZfSpObQ-3wwZ52FiAsMhy1wU/edit?usp=drivesdk</t>
  </si>
  <si>
    <t>B2- TJRN VARA FAMÍLIA RETIFICA EDITAL</t>
  </si>
  <si>
    <t>BOLETIM_RADIO_TJRN_10_06_2026_B2_TJRN_VARA_FAMILIA_RETIFICA_EDITAL</t>
  </si>
  <si>
    <t>https://docs.google.com/document/d/1JAXYPzTit79zZeUbr5uq6x6L0VUCU0Zbthiyw5CRsJ4/edit?usp=drivesdk</t>
  </si>
  <si>
    <t xml:space="preserve">B1- TJRN MUNICÍPIO REGULARIZAR PAGAMENTO ESTÁDIO </t>
  </si>
  <si>
    <t>BOLETIM_RADIO_TJRN_10_06_2026_B1_TJRN_MUNICIPIO_REGULARIZAR_PAGAMENTO_ESTADIO_</t>
  </si>
  <si>
    <t>https://docs.google.com/document/d/1QDQsvzIYKtDY_1uJViIZX-tjUgC2k2ejBG9Gxu5kvmo/edit?usp=drivesdk</t>
  </si>
  <si>
    <t xml:space="preserve">B11- MPRN EVENTO AGENTES SEGURANÇA </t>
  </si>
  <si>
    <t>BOLETIM_RADIO_TJRN_09_06_2026_B11_MPRN_EVENTO_AGENTES_SEGURANCA_</t>
  </si>
  <si>
    <t>https://docs.google.com/document/d/1Zwv3AwreXKdL1WIq25Gr0_xCjExfeK-Z4OQEKbi3VZk/edit?usp=drivesdk</t>
  </si>
  <si>
    <t xml:space="preserve">B10- DPERN DEFENSORES MIRINS </t>
  </si>
  <si>
    <t>BOLETIM_RADIO_TJRN_09_06_2026_B10_DPERN_DEFENSORES_MIRINS_</t>
  </si>
  <si>
    <t>https://docs.google.com/document/d/1fTmUMTKNtvMSVsSieMItxi-HYgBRz_ymWaJh_Gf36Sk/edit?usp=drivesdk</t>
  </si>
  <si>
    <t xml:space="preserve">B9- OAB/RN ESA ESPECIALISTAS IA ADVOCACIA </t>
  </si>
  <si>
    <t>BOLETIM_RADIO_TJRN_09_06_2026_B9_OABRN_ESA_ESPECIALISTAS_IA_ADVOCACIA_</t>
  </si>
  <si>
    <t>https://docs.google.com/document/d/11hiTBuT-cQDKQezbmb_Lz9mcZl75S-rd1tJq0UZ2WHE/edit?usp=drivesdk</t>
  </si>
  <si>
    <t>B8- ESMARN COMPROMISSO AMBIENTAL</t>
  </si>
  <si>
    <t>BOLETIM_RADIO_TJRN_09_06_2026_B8_ESMARN_COMPROMISSO_AMBIENTAL</t>
  </si>
  <si>
    <t>https://docs.google.com/document/d/1q8eFQH3x39H3ahR4Xo38qyMfzPNkwB1001rNJteYaRc/edit?usp=drivesdk</t>
  </si>
  <si>
    <t xml:space="preserve">B7- TJRN EMPRESA VIAGEM APLICATIVO INDENIZAÇÃO </t>
  </si>
  <si>
    <t>BOLETIM_RADIO_TJRN_09_06_2026_B7_TJRN_EMPRESA_VIAGEM_APLICATIVO_INDENIZACAO_</t>
  </si>
  <si>
    <t>https://docs.google.com/document/d/1cQpjVZEGhCKQDzkxb-9AmXEt6gb8TMKo0laFV5Cv_44/edit?usp=drivesdk</t>
  </si>
  <si>
    <t xml:space="preserve">B6- TJRN VARA FAMÍLIA ESTÁGIO </t>
  </si>
  <si>
    <t>BOLETIM_RADIO_TJRN_09_06_2026_B6_TJRN_VARA_FAMILIA_ESTAGIO_</t>
  </si>
  <si>
    <t>https://docs.google.com/document/d/1Jz_DJo-La97Xjp7HIV4vodsEqFSKQVZrYx71kuCRPHw/edit?usp=drivesdk</t>
  </si>
  <si>
    <t xml:space="preserve">B5- TJRN SUSPENSÃO MONITORAÇÃO ELETRÔNICA </t>
  </si>
  <si>
    <t>BOLETIM_RADIO_TJRN_09_06_2026_B5_TJRN_SUSPENSAO_MONITORACAO_ELETRONICA_</t>
  </si>
  <si>
    <t>https://docs.google.com/document/d/1Dq8Epaoz7oDcT-GzPHpjOupJMypKH6S9uio7HEw2FPE/edit?usp=drivesdk</t>
  </si>
  <si>
    <t xml:space="preserve">B4- TJRN VAGA ESTÁGIO JORNALISMO </t>
  </si>
  <si>
    <t>BOLETIM_RADIO_TJRN_09_06_2026_B4_TJRN_VAGA_ESTAGIO_JORNALISMO_</t>
  </si>
  <si>
    <t>https://docs.google.com/document/d/1-B5BdeSrcdofz6R1RWuieNDz5ZXygQbnM2q8AuZQn7M/edit?usp=drivesdk</t>
  </si>
  <si>
    <t xml:space="preserve">B3- TJRN REPOJURN ARTIGOS INTELIGÊNCIA ARTIFICIAL </t>
  </si>
  <si>
    <t>BOLETIM_RADIO_TJRN_09_06_2026_B3_TJRN_REPOJURN_ARTIGOS_INTELIGENCIA_ARTIFICIAL_</t>
  </si>
  <si>
    <t>https://docs.google.com/document/d/1aE6iNUKj8l8dqA3mOriksDziGW-mHnBaoPDNi5kDrX8/edit?usp=drivesdk</t>
  </si>
  <si>
    <t xml:space="preserve">B2- TJRN ALEXANDRIA EVENTO ESTUPRO VUNERÁVEL </t>
  </si>
  <si>
    <t>BOLETIM_RADIO_TJRN_09_06_2026_B2_TJRN_ALEXANDRIA_EVENTO_ESTUPRO_VUNERAVEL_</t>
  </si>
  <si>
    <t>https://docs.google.com/document/d/1vCg8aJA_PdefcI94CwSlvPRcGLmFCimpxwtiKsZqlz8/edit?usp=drivesdk</t>
  </si>
  <si>
    <t xml:space="preserve">B1- TJRN DESEMBARGADORES INDICADOS </t>
  </si>
  <si>
    <t>BOLETIM_RADIO_TJRN_09_06_2026_B1_TJRN_DESEMBARGADORES_INDICADOS_</t>
  </si>
  <si>
    <t>https://docs.google.com/document/d/1B92JlA2_Xv2OWLwdoYmDrwEFJIwU2qutmoBMai5DqfY/edit?usp=drivesdk</t>
  </si>
  <si>
    <t>B11- MPRN PROJETO ADOÇÃO É LEGAL</t>
  </si>
  <si>
    <t>BOLETIM_RADIO_TJRN_08_06_2026_B11_MPRN_PROJETO_ADOCAO_E_LEGAL</t>
  </si>
  <si>
    <t>https://docs.google.com/document/d/13QI0jtwmssw6kt3WRDQ0o7pNkXNkPTRpuA4ziQ0cNbE/edit?usp=drivesdk</t>
  </si>
  <si>
    <t>B10- MPRN MULTIRÃO EXAMES CNH</t>
  </si>
  <si>
    <t>BOLETIM_RADIO_TJRN_08_06_2026_B10_MPRN_MULTIRAO_EXAMES_CNH</t>
  </si>
  <si>
    <t>https://docs.google.com/document/d/1zhEpJ0CqJXobzSdFlv1jPWQHfvge5agyLxTD09jF3Fc/edit?usp=drivesdk</t>
  </si>
  <si>
    <t xml:space="preserve">B9- TJRN COMISSÃO SOLUÇÕES FUNDIÁRIAS </t>
  </si>
  <si>
    <t>BOLETIM_RADIO_TJRN_08_06_2026_B9_TJRN_COMISSAO_SOLUCOES_FUNDIARIAS_</t>
  </si>
  <si>
    <t>https://docs.google.com/document/d/1uShY2oDeueQoLaqEq7zFohPuLkRz35jZVWs37qu36dA/edit?usp=drivesdk</t>
  </si>
  <si>
    <t>B8- TJRN DECLARA LEGAIS MULTAS CAERN</t>
  </si>
  <si>
    <t>BOLETIM_RADIO_TJRN_08_06_2026_B8_TJRN_DECLARA_LEGAIS_MULTAS_CAERN</t>
  </si>
  <si>
    <t>https://docs.google.com/document/d/1mbatuLnKRl5Q0Q3y-gZ--k9dj38pjGxr7TL0l7aSPT4/edit?usp=drivesdk</t>
  </si>
  <si>
    <t>B7- TJRN EMPRESA INDENIZAR MORADOR</t>
  </si>
  <si>
    <t>BOLETIM_RADIO_TJRN_08_06_2026_B7_TJRN_EMPRESA_INDENIZAR_MORADOR</t>
  </si>
  <si>
    <t>https://docs.google.com/document/d/1SrJFnCPUvrIryUe4tzO8Sisy_OIr1V_FOYWkJF1YkcU/edit?usp=drivesdk</t>
  </si>
  <si>
    <t xml:space="preserve">B6- TJRN FRAUDE EMPRÉSTIMOS PIX </t>
  </si>
  <si>
    <t>BOLETIM_RADIO_TJRN_08_06_2026_B6_TJRN_FRAUDE_EMPRESTIMOS_PIX_</t>
  </si>
  <si>
    <t>https://docs.google.com/document/d/1ej-MY81ErHVzKscqnufqN7K8uMCts2YVPu2WPaJistc/edit?usp=drivesdk</t>
  </si>
  <si>
    <t xml:space="preserve">B5- TJRN ERRO MÉDICO ATENDIMENTO </t>
  </si>
  <si>
    <t>BOLETIM_RADIO_TJRN_08_06_2026_B5_TJRN_ERRO_MEDICO_ATENDIMENTO_</t>
  </si>
  <si>
    <t>https://docs.google.com/document/d/1d4eHTmI4IoNWIPBp05lwVWzXC14FLE9ee_-Nzk8p828/edit?usp=drivesdk</t>
  </si>
  <si>
    <t>B4- TJRN TURMA RECURSAL ESTÁGIO</t>
  </si>
  <si>
    <t>BOLETIM_RADIO_TJRN_08_06_2026_B4_TJRN_TURMA_RECURSAL_ESTAGIO</t>
  </si>
  <si>
    <t>https://docs.google.com/document/d/1NbA4nLf-zBhPOumFcpWBU9AbTSjXBsxEvho9dPQTqpY/edit?usp=drivesdk</t>
  </si>
  <si>
    <t>B3- TJRN CIA AEREA CONDENADA</t>
  </si>
  <si>
    <t>BOLETIM_RADIO_TJRN_08_06_2026_B3_TJRN_CIA_AEREA_CONDENADA</t>
  </si>
  <si>
    <t>https://docs.google.com/document/d/17I5GoQEqsKI8AV4ysUZ6iO9gmPfc2cHmSvRmQt0NeG0/edit?usp=drivesdk</t>
  </si>
  <si>
    <t xml:space="preserve">B2- TJRN AUDIÊNCIA METAS NACIONAIS PODER JUDICIÁRIO </t>
  </si>
  <si>
    <t>BOLETIM_RADIO_TJRN_08_06_2026_B2_TJRN_AUDIENCIA_METAS_NACIONAIS_PODER_JUDICIARIO_</t>
  </si>
  <si>
    <t>https://docs.google.com/document/d/1L4p5x1XZoVu4Oz_RWHHr60ZrBckwojfiJ6EUb-6Vf2Y/edit?usp=drivesdk</t>
  </si>
  <si>
    <t xml:space="preserve">B1- TJRN CONDENA PORTAL DE NOTÍCIAS </t>
  </si>
  <si>
    <t>BOLETIM_RADIO_TJRN_08_06_2026_B1_TJRN_CONDENA_PORTAL_DE_NOTICIAS_</t>
  </si>
  <si>
    <t>https://docs.google.com/document/d/1tQ5SyTJjhDjjTMNooGdQoKzRODbV7jM7FVF4H6rOkUg/edit?usp=drivesdk</t>
  </si>
  <si>
    <t xml:space="preserve">B10- TRT/RN PUBLICAÇÃO INCIDENTES DADOS PESSOAIS </t>
  </si>
  <si>
    <t>LEO ✔</t>
  </si>
  <si>
    <t>LET ✔</t>
  </si>
  <si>
    <t>BOLETIM_RADIO_TJRN_03_06_2026_B10_TRTRN_PUBLICACAO_INCIDENTES_DADOS_PESSOAIS_</t>
  </si>
  <si>
    <t>https://docs.google.com/document/d/1HEX_TuNVWnImdvK8JynmktQoHrpt3CTby0tMIVOCSuI/edit?usp=drivesdk</t>
  </si>
  <si>
    <t xml:space="preserve">B9- TJRN ACUSADO HOMICÍDIO CASA JOGOS </t>
  </si>
  <si>
    <t>BOLETIM_RADIO_TJRN_03_06_2026_B9_TJRN_ACUSADO_HOMICIDIO_CASA_JOGOS_</t>
  </si>
  <si>
    <t>https://docs.google.com/document/d/1r_DWGXWVt_2RK33LEKmO09GFLZLhKqrM8eHGJoefnE4/edit?usp=drivesdk</t>
  </si>
  <si>
    <t xml:space="preserve">B8- TJRN APLICATIVO ENTREGA CONDENADO </t>
  </si>
  <si>
    <t>BOLETIM_RADIO_TJRN_03_06_2026_B8_TJRN_APLICATIVO_ENTREGA_CONDENADO_</t>
  </si>
  <si>
    <t>https://docs.google.com/document/d/1i-8iS-hqV9Qn4j3aVSnhZzcbazD3tyxQFfV3d-r1eYk/edit?usp=drivesdk</t>
  </si>
  <si>
    <t xml:space="preserve">B7- TJRN PEDIDO SUSPENDER LICITAÇÃO NÍSIA </t>
  </si>
  <si>
    <t>BOLETIM_RADIO_TJRN_03_06_2026_B7_TJRN_PEDIDO_SUSPENDER_LICITACAO_NISIA_</t>
  </si>
  <si>
    <t>https://docs.google.com/document/d/1wdMq49GfeTRVFQzwIeZYVfWr724DGBcjexDnFvFx58U/edit?usp=drivesdk</t>
  </si>
  <si>
    <t>B6- TJRN ANÁLISE FORO</t>
  </si>
  <si>
    <t>BOLETIM_RADIO_TJRN_03_06_2026_B6_TJRN_ANALISE_FORO</t>
  </si>
  <si>
    <t>https://docs.google.com/document/d/11pxOXdYrfTASV-FkckMWus4_JlSQ1jnamhl1qDjX5GM/edit?usp=drivesdk</t>
  </si>
  <si>
    <t xml:space="preserve">B5- TJRN CONSIDERA LEGAL REVERSÃO NOGUEIRÃO </t>
  </si>
  <si>
    <t>BOLETIM_RADIO_TJRN_03_06_2026_B5_TJRN_CONSIDERA_LEGAL_REVERSAO_NOGUEIRAO_</t>
  </si>
  <si>
    <t>https://docs.google.com/document/d/1Tz39miI4_12PM9E6yvoFw9aGeNyeTZl0_AmgIDMHG9s/edit?usp=drivesdk</t>
  </si>
  <si>
    <t xml:space="preserve">B4- TJRN PROJETO COLHENDO PALAVRAS </t>
  </si>
  <si>
    <t>BOLETIM_RADIO_TJRN_03_06_2026_B4_TJRN_PROJETO_COLHENDO_PALAVRAS_</t>
  </si>
  <si>
    <t>https://docs.google.com/document/d/1sSbBLroc9ddNS8XLfBnMmbPeuUAj-a8NoIHJV3YJuvw/edit?usp=drivesdk</t>
  </si>
  <si>
    <t xml:space="preserve">B3- TJRN RESULTADO DEFINITIVO HETEROIDENTIFICAÇÃO </t>
  </si>
  <si>
    <t>BOLETIM_RADIO_TJRN_03_06_2026_B3_TJRN_RESULTADO_DEFINITIVO_HETEROIDENTIFICACAO_</t>
  </si>
  <si>
    <t>https://docs.google.com/document/d/1fZcu7Y9ppPquMRd4uMEuEEJpGXoTsUF_oB-IbIYTKTU/edit?usp=drivesdk</t>
  </si>
  <si>
    <t>B2- TJRN CASAMENTO COMUNITÁRIO TOUROS</t>
  </si>
  <si>
    <t>BOLETIM_RADIO_TJRN_03_06_2026_B2_TJRN_CASAMENTO_COMUNITARIO_TOUROS</t>
  </si>
  <si>
    <t>https://docs.google.com/document/d/1gJbicV3GRLn5_o7Xh-jonsG3hOtgl1ccgfN8kzdrHo8/edit?usp=drivesdk</t>
  </si>
  <si>
    <t>B1- TJRN HOMEM CONDENADO COLISÃO CARRO</t>
  </si>
  <si>
    <t>BOLETIM_RADIO_TJRN_03_06_2026_B1_TJRN_HOMEM_CONDENADO_COLISAO_CARRO</t>
  </si>
  <si>
    <t>https://docs.google.com/document/d/1hDl1gAQfGCHkq44vLJsix2Je8CBv2KJE6Sytu2Kw5Y8/edit?usp=drivesdk</t>
  </si>
  <si>
    <t xml:space="preserve">B10- TJRN JUIZADO NATAL ESTÁGIO </t>
  </si>
  <si>
    <t>BOLETIM_RADIO_TJRN_02_06_2026_B10_TJRN_JUIZADO_NATAL_ESTAGIO_</t>
  </si>
  <si>
    <t>https://docs.google.com/document/d/1lGHyzC3kE0lAt-pQ41zcyuJdhAstOfdR_XJ4lH9PpbU/edit?usp=drivesdk</t>
  </si>
  <si>
    <t>B9- TJRN DECISÃO REVOGADA EX-PREFEITO</t>
  </si>
  <si>
    <t>BOLETIM_RADIO_TJRN_02_06_2026_B9_TJRN_DECISAO_REVOGADA_EX_PREFEITO</t>
  </si>
  <si>
    <t>https://docs.google.com/document/d/1BRzt9IHDIJIX51SS-n3SBX243DtTeaB7I5NS3DRVR0I/edit?usp=drivesdk</t>
  </si>
  <si>
    <t>B8- TJRN DECISÃO DESCARTA SUPOSTO FISHING</t>
  </si>
  <si>
    <t>BOLETIM_RADIO_TJRN_02_06_2026_B8_TJRN_DECISAO_DESCARTA_SUPOSTO_FISHING</t>
  </si>
  <si>
    <t>https://docs.google.com/document/d/1PpguQ0I5WNtV8Ks-cjoD7kU5myjX5OonzlrsN5G0xv0/edit?usp=drivesdk</t>
  </si>
  <si>
    <t xml:space="preserve">B7- TJRN JUIZADO VIOLÊNCIA DOMÉSTICA </t>
  </si>
  <si>
    <t>BOLETIM_RADIO_TJRN_02_06_2026_B7_TJRN_JUIZADO_VIOLENCIA_DOMESTICA_</t>
  </si>
  <si>
    <t>https://docs.google.com/document/d/1NyijpTrru__RKjOZB5bStGMIpYZselA69R1esRJwdZ8/edit?usp=drivesdk</t>
  </si>
  <si>
    <t xml:space="preserve">B6- TJRN PENAS PECUNIÁRIAS JUCURUTU </t>
  </si>
  <si>
    <t>BOLETIM_RADIO_TJRN_02_06_2026_B6_TJRN_PENAS_PECUNIARIAS_JUCURUTU_</t>
  </si>
  <si>
    <t>https://docs.google.com/document/d/11vm_mxsasOPm3iB_N29uISuHt6yG8FRQTLCdK0XUJ3c/edit?usp=drivesdk</t>
  </si>
  <si>
    <t xml:space="preserve">B5- TJRN MANTIDA PRISÃO ACUSADO FACÇÃO </t>
  </si>
  <si>
    <t>BOLETIM_RADIO_TJRN_02_06_2026_B5_TJRN_MANTIDA_PRISAO_ACUSADO_FACCAO_</t>
  </si>
  <si>
    <t>https://docs.google.com/document/d/1KcU085ulcSShKkRkZ6ycBvEHnunK8ADoPnZBRqDXrCY/edit?usp=drivesdk</t>
  </si>
  <si>
    <t>B4- TJRN JULGADO IMPROCEDENTE PEDIDO PAGAMENTO</t>
  </si>
  <si>
    <t>BOLETIM_RADIO_TJRN_02_06_2026_B4_TJRN_JULGADO_IMPROCEDENTE_PEDIDO_PAGAMENTO</t>
  </si>
  <si>
    <t>https://docs.google.com/document/d/17XBa6oA75q2y_GQfgiK8AtEwYVCCo3fv6flotv4C51o/edit?usp=drivesdk</t>
  </si>
  <si>
    <t>B3- TJRN SAAE EXTREMOZ INDENIZAR</t>
  </si>
  <si>
    <t>BOLETIM_RADIO_TJRN_02_06_2026_B3_TJRN_SAAE_EXTREMOZ_INDENIZAR</t>
  </si>
  <si>
    <t>https://docs.google.com/document/d/1xV7XPk5Rzw_WTWN66T51Hrv9PaeOfjMyTrP2Vz4grTs/edit?usp=drivesdk</t>
  </si>
  <si>
    <t xml:space="preserve">B2- TJRN SUSPENDE EDITAIS </t>
  </si>
  <si>
    <t>BOLETIM_RADIO_TJRN_02_06_2026_B2_TJRN_SUSPENDE_EDITAIS_</t>
  </si>
  <si>
    <t>https://docs.google.com/document/d/19pXNoZaBxRMcdBpwYvwQ2dCCB_NXoXCiEy0MMr3HmO0/edit?usp=drivesdk</t>
  </si>
  <si>
    <t>B1- TJRN ARTIGO REPOJURN</t>
  </si>
  <si>
    <t>BOLETIM_RADIO_TJRN_02_06_2026_B1_TJRN_ARTIGO_REPOJURN</t>
  </si>
  <si>
    <t>https://docs.google.com/document/d/1866-NPN9GUhLqjEvW6Ov8n8WNzUFN73E8ozSHPvBL34/edit?usp=drivesdk</t>
  </si>
  <si>
    <t>B10 - TJRN CAMPANHA MÊS PROTEGIDA</t>
  </si>
  <si>
    <t>LIV ✔</t>
  </si>
  <si>
    <t xml:space="preserve"> ✔</t>
  </si>
  <si>
    <t>BOLETIM_RADIO_TJRN_01_06_2026_B10_TJRN_CAMPANHA_MES_PROTEGIDA</t>
  </si>
  <si>
    <t>https://docs.google.com/document/d/15aMyyco58yy_6I4qdLazRs9qfPEkfC3uIwbTmgEVkvQ/edit?usp=drivesdk</t>
  </si>
  <si>
    <t>B9- TJRN OFICIALIZA UNIÃO CIVIL</t>
  </si>
  <si>
    <t>BOLETIM_RADIO_TJRN_01_06_2026_B9_TJRN_OFICIALIZA_UNIAO_CIVIL</t>
  </si>
  <si>
    <t>https://docs.google.com/document/d/1j6JzsP7VC5R6nwnGHJchb5qiMymUt1FMl6FZxLC93QQ/edit?usp=drivesdk</t>
  </si>
  <si>
    <t>B8- TJRN INSCRIÇÕES ACOLHIMENTO SERVIDORES</t>
  </si>
  <si>
    <t>BOLETIM_RADIO_TJRN_01_06_2026_B8_TJRN_INSCRICOES_ACOLHIMENTO_SERVIDORES</t>
  </si>
  <si>
    <t>https://docs.google.com/document/d/1tAM11mgxTqEIm6Ij7sNtTBUpM4ahS8K64wpAliFes7E/edit?usp=drivesdk</t>
  </si>
  <si>
    <t xml:space="preserve">B7- TJRN COBRANÇA INDEVIDA LOCAÇÃO </t>
  </si>
  <si>
    <t>BOLETIM_RADIO_TJRN_01_06_2026_B7_TJRN_COBRANCA_INDEVIDA_LOCACAO_</t>
  </si>
  <si>
    <t>https://docs.google.com/document/d/1bxeObQAyExXdiH1HkC_0RIVHW-8JT5-0bTRRrpcDKLU/edit?usp=drivesdk</t>
  </si>
  <si>
    <t xml:space="preserve">B6- TJRN MANTÉM CONDENAÇÃO HOMEM </t>
  </si>
  <si>
    <t>BOLETIM_RADIO_TJRN_01_06_2026_B6_TJRN_MANTEM_CONDENACAO_HOMEM_</t>
  </si>
  <si>
    <t>https://docs.google.com/document/d/1jXlsr-TrEjxT5MWUWkclgmdFoq09BXcspLsht-tIhe8/edit?usp=drivesdk</t>
  </si>
  <si>
    <t xml:space="preserve">B5- TJRN HOMEM ACUSADO AGRESSÃO </t>
  </si>
  <si>
    <t>BOLETIM_RADIO_TJRN_01_06_2026_B5_TJRN_HOMEM_ACUSADO_AGRESSAO_</t>
  </si>
  <si>
    <t>https://docs.google.com/document/d/1weJso0l0OqJDzqgnIO_tmV6N5EBSlZheZZCKKjNJXEw/edit?usp=drivesdk</t>
  </si>
  <si>
    <t xml:space="preserve">B4- TJRN FALHA SERVIÇO AROMATIZAÇÃO </t>
  </si>
  <si>
    <t>BOLETIM_RADIO_TJRN_01_06_2026_B4_TJRN_FALHA_SERVICO_AROMATIZACAO_</t>
  </si>
  <si>
    <t>https://docs.google.com/document/d/1eyO3kKeGHKj3dTbT7wJX8OzQe0xkzzBwatdvXdlYUuw/edit?usp=drivesdk</t>
  </si>
  <si>
    <t>B3- TJRN PLANO SAÚDE FORNECER CIRURGIA</t>
  </si>
  <si>
    <t>BOLETIM_RADIO_TJRN_01_06_2026_B3_TJRN_PLANO_SAUDE_FORNECER_CIRURGIA</t>
  </si>
  <si>
    <t>https://docs.google.com/document/d/1Lz3xlrDEW5o1EXjkkxwqkkSdEYlaXGV6neVrQNwEDoA/edit?usp=drivesdk</t>
  </si>
  <si>
    <t>B2- TJRN PERMISSÃO USO IMOVEL</t>
  </si>
  <si>
    <t>BOLETIM_RADIO_TJRN_01_06_2026_B2_TJRN_PERMISSAO_USO_IMOVEL</t>
  </si>
  <si>
    <t>https://docs.google.com/document/d/1wMcwt0ousX3Jmq31x0LRPl-hirX8JpjJExd2FPfc608/edit?usp=drivesdk</t>
  </si>
  <si>
    <t xml:space="preserve">B1- TJRN CONSUMIDORA INDENIZADA PARTO </t>
  </si>
  <si>
    <t>BOLETIM_RADIO_TJRN_01_06_2026_B1_TJRN_CONSUMIDORA_INDENIZADA_PARTO_</t>
  </si>
  <si>
    <t>https://docs.google.com/document/d/1DuU-E8X1pZkIEXTCxjvYFLz9ZpKQrVG3o7WPGu0OBKc/edit?usp=drivesdk</t>
  </si>
  <si>
    <t>29/05/2026</t>
  </si>
  <si>
    <t>Última sincronização: 18/06/2026 08:14 • Sistema Rádio Web 2026</t>
  </si>
  <si>
    <t>Última sincronização: 08/06/2026 00:16 • Sistema Rádio Web 2026</t>
  </si>
  <si>
    <t>Última sincronização: 08/06/2026 02:16 • Sistema Rádio Web 2026</t>
  </si>
  <si>
    <t>Última sincronização: 08/06/2026 04:16 • Sistema Rádio Web 2026</t>
  </si>
  <si>
    <t>Última sincronização: 08/06/2026 08:17 • Sistema Rádio Web 2026</t>
  </si>
  <si>
    <t>Última sincronização: 07/06/2026 00:15 • Sistema Rádio Web 2026</t>
  </si>
  <si>
    <t>Última sincronização: 07/06/2026 04:15 • Sistema Rádio Web 2026</t>
  </si>
  <si>
    <t>Última sincronização: 07/06/2026 06:14 • Sistema Rádio Web 2026</t>
  </si>
  <si>
    <t>Última sincronização: 07/06/2026 08:16 • Sistema Rádio Web 2026</t>
  </si>
  <si>
    <t>Última sincronização: 07/06/2026 10:17 • Sistema Rádio Web 2026</t>
  </si>
  <si>
    <t>Última sincronização: 07/06/2026 12:14 • Sistema Rádio Web 2026</t>
  </si>
  <si>
    <t>Última sincronização: 07/06/2026 14:16 • Sistema Rádio Web 2026</t>
  </si>
  <si>
    <t>Última sincronização: 07/06/2026 16:15 • Sistema Rádio Web 2026</t>
  </si>
  <si>
    <t>Última sincronização: 07/06/2026 18:16 • Sistema Rádio Web 2026</t>
  </si>
  <si>
    <t>Última sincronização: 07/06/2026 20:15 • Sistema Rádio Web 2026</t>
  </si>
  <si>
    <t>Última sincronização: 07/06/2026 22:16 • Sistema Rádio Web 2026</t>
  </si>
  <si>
    <t>Última sincronização: 06/06/2026 00:16 • Sistema Rádio Web 2026</t>
  </si>
  <si>
    <t>Última sincronização: 06/06/2026 02:16 • Sistema Rádio Web 2026</t>
  </si>
  <si>
    <t>Última sincronização: 06/06/2026 04:14 • Sistema Rádio Web 2026</t>
  </si>
  <si>
    <t>Última sincronização: 06/06/2026 08:14 • Sistema Rádio Web 2026</t>
  </si>
  <si>
    <t>Última sincronização: 06/06/2026 10:17 • Sistema Rádio Web 2026</t>
  </si>
  <si>
    <t>Última sincronização: 06/06/2026 12:16 • Sistema Rádio Web 2026</t>
  </si>
  <si>
    <t>Última sincronização: 06/06/2026 14:15 • Sistema Rádio Web 2026</t>
  </si>
  <si>
    <t>Última sincronização: 06/06/2026 16:17 • Sistema Rádio Web 2026</t>
  </si>
  <si>
    <t>Última sincronização: 06/06/2026 18:17 • Sistema Rádio Web 2026</t>
  </si>
  <si>
    <t>Última sincronização: 06/06/2026 20:14 • Sistema Rádio Web 2026</t>
  </si>
  <si>
    <t>Última sincronização: 06/06/2026 22:14 • Sistema Rádio Web 2026</t>
  </si>
  <si>
    <t>Última sincronização: 05/06/2026 00:16 • Sistema Rádio Web 2026</t>
  </si>
  <si>
    <t>Última sincronização: 05/06/2026 02:16 • Sistema Rádio Web 2026</t>
  </si>
  <si>
    <t>Última sincronização: 05/06/2026 04:15 • Sistema Rádio Web 2026</t>
  </si>
  <si>
    <t>Última sincronização: 05/06/2026 06:15 • Sistema Rádio Web 2026</t>
  </si>
  <si>
    <t>Última sincronização: 05/06/2026 08:16 • Sistema Rádio Web 2026</t>
  </si>
  <si>
    <t>Última sincronização: 05/06/2026 12:17 • Sistema Rádio Web 2026</t>
  </si>
  <si>
    <t>Última sincronização: 05/06/2026 20:15 • Sistema Rádio Web 2026</t>
  </si>
  <si>
    <t>Última sincronização: 04/06/2026 00:15 • Sistema Rádio Web 2026</t>
  </si>
  <si>
    <t>Última sincronização: 04/06/2026 04:16 • Sistema Rádio Web 2026</t>
  </si>
  <si>
    <t>Última sincronização: 04/06/2026 06:15 • Sistema Rádio Web 2026</t>
  </si>
  <si>
    <t>Última sincronização: 04/06/2026 08:16 • Sistema Rádio Web 2026</t>
  </si>
  <si>
    <t>Última sincronização: 04/06/2026 16:17 • Sistema Rádio Web 2026</t>
  </si>
  <si>
    <t>Última sincronização: 04/06/2026 22:15 • Sistema Rádio Web 2026</t>
  </si>
  <si>
    <t>Última sincronização: 03/06/2026 00:15 • Sistema Rádio Web 2026</t>
  </si>
  <si>
    <t>Última sincronização: 03/06/2026 02:17 • Sistema Rádio Web 2026</t>
  </si>
  <si>
    <t>Última sincronização: 03/06/2026 14:17 • Sistema Rádio Web 2026</t>
  </si>
  <si>
    <t>Última sincronização: 03/06/2026 18:16 • Sistema Rádio Web 2026</t>
  </si>
  <si>
    <t>Última sincronização: 03/06/2026 22:15 • Sistema Rádio Web 2026</t>
  </si>
  <si>
    <t>Última sincronização: 02/06/2026 00:16 • Sistema Rádio Web 2026</t>
  </si>
  <si>
    <t>Última sincronização: 02/06/2026 04:15 • Sistema Rádio Web 2026</t>
  </si>
  <si>
    <t>Última sincronização: 02/06/2026 06:15 • Sistema Rádio Web 2026</t>
  </si>
  <si>
    <t>Última sincronização: 02/06/2026 16:17 • Sistema Rádio Web 2026</t>
  </si>
  <si>
    <t>Última sincronização: 02/06/2026 20:16 • Sistema Rádio Web 2026</t>
  </si>
  <si>
    <t>Última sincronização: 02/06/2026 22:17 • Sistema Rádio Web 2026</t>
  </si>
  <si>
    <t>Última sincronização: 01/06/2026 12:09 • Sistema Rádio Web 2026</t>
  </si>
  <si>
    <t>Última sincronização: 01/06/2026 12:17 • Sistema Rádio Web 2026</t>
  </si>
  <si>
    <t>Última sincronização: 01/06/2026 16:17 • Sistema Rádio Web 2026</t>
  </si>
  <si>
    <t>Última sincronização: 01/06/2026 20:17 • Sistema Rádio Web 2026</t>
  </si>
  <si>
    <t>Última sincronização: 01/06/2026 22:16 • Sistema Rádio Web 2026</t>
  </si>
  <si>
    <t>B10- MPRN FISCALIZAÇÃO CAPS</t>
  </si>
  <si>
    <t>BOLETIM_RADIO_TJRN_29_05_2026_B10_MPRN_FISCALIZACAO_CAPS</t>
  </si>
  <si>
    <t>https://docs.google.com/document/d/1zbh32ywpRq-eEdYICMsRA3T7SzngSNa-PfqVxoOIMBk/edit?usp=drivesdk</t>
  </si>
  <si>
    <t xml:space="preserve">B9- TJRN ÁREAS DE GESTÃO </t>
  </si>
  <si>
    <t>BOLETIM_RADIO_TJRN_29_05_2026_B9_TJRN_AREAS_DE_GESTAO_</t>
  </si>
  <si>
    <t>https://docs.google.com/document/d/1NYqZc4GV6lcnQcVR3124SDvhjxlOfk2JVQBaVhzdBRM/edit?usp=drivesdk</t>
  </si>
  <si>
    <t>B8- TJRN EVENTO CHATJURIS</t>
  </si>
  <si>
    <t>BOLETIM_RADIO_TJRN_29_05_2026_B8_TJRN_EVENTO_CHATJURIS</t>
  </si>
  <si>
    <t>https://docs.google.com/document/d/1mv67qN_cK_no9ichD1ACW4cqTc2mzr2b6OK7bJsJCTk/edit?usp=drivesdk</t>
  </si>
  <si>
    <t>B7- OAB/RN ALERTA USO INDEVIDO ENTIDADE</t>
  </si>
  <si>
    <t>BOLETIM_RADIO_TJRN_29_05_2026_B7_OABRN_ALERTA_USO_INDEVIDO_ENTIDADE</t>
  </si>
  <si>
    <t>https://docs.google.com/document/d/1xr68WYI4yiZeyx52CKv8hNgSCU_e5sovmi2fL8YDWWY/edit?usp=drivesdk</t>
  </si>
  <si>
    <t xml:space="preserve">B6- TJRN MAGISTRADOS FONAJE TRANSNACIONAL </t>
  </si>
  <si>
    <t>BOLETIM_RADIO_TJRN_29_05_2026_B6_TJRN_MAGISTRADOS_FONAJE_TRANSNACIONAL_</t>
  </si>
  <si>
    <t>https://docs.google.com/document/d/1PC_CGEuUXgX9DbCYpIGf-KccTjJQ8S4gBMn_w3BL13M/edit?usp=drivesdk</t>
  </si>
  <si>
    <t xml:space="preserve">B5- TJRN RESULTADO RECURSOS HETEROIDENTIFICAÇÃO </t>
  </si>
  <si>
    <t>BOLETIM_RADIO_TJRN_29_05_2026_B5_TJRN_RESULTADO_RECURSOS_HETEROIDENTIFICACAO_</t>
  </si>
  <si>
    <t>https://docs.google.com/document/d/1vTttk7ZIfqUxII6uQjJzcqBOP1vnszV9-vPMZIhMMJ0/edit?usp=drivesdk</t>
  </si>
  <si>
    <t xml:space="preserve">B4- TJRN COMISSÃO SOLUÇÕES FUNDIÁRIAS </t>
  </si>
  <si>
    <t>BOLETIM_RADIO_TJRN_29_05_2026_B4_TJRN_COMISSAO_SOLUCOES_FUNDIARIAS_</t>
  </si>
  <si>
    <t>https://docs.google.com/document/d/1hOVoDajop_FNRVELnHSq2tU2-EXg0dKdv09T90ZWvHI/edit?usp=drivesdk</t>
  </si>
  <si>
    <t xml:space="preserve">B3- TJRN PRORROGA VALIDADE CONCURSO </t>
  </si>
  <si>
    <t>BOLETIM_RADIO_TJRN_29_05_2026_B3_TJRN_PRORROGA_VALIDADE_CONCURSO_</t>
  </si>
  <si>
    <t>https://docs.google.com/document/d/1HClCyum5Kc8jPrmOBMf6E2T8zPWDnZ2zZxb5wPbZdNc/edit?usp=drivesdk</t>
  </si>
  <si>
    <t xml:space="preserve">B2- TJRN SESSÃO HÍBRIDA CAMARA CRIMINAL </t>
  </si>
  <si>
    <t>BOLETIM_RADIO_TJRN_29_05_2026_B2_TJRN_SESSAO_HIBRIDA_CAMARA_CRIMINAL_</t>
  </si>
  <si>
    <t>https://docs.google.com/document/d/1tC0RudLl4LK1cazhfiw8wB-2TWOXrxoxgLj_cVy5ce0/edit?usp=drivesdk</t>
  </si>
  <si>
    <t xml:space="preserve">B1- TJRN ALMINO AFONSO SELEÇÃO TABELIÃO </t>
  </si>
  <si>
    <t>BOLETIM_RADIO_TJRN_29_05_2026_B1_TJRN_ALMINO_AFONSO_SELECAO_TABELIAO_</t>
  </si>
  <si>
    <t>https://docs.google.com/document/d/1i7QIkSKA5cdocnMX2T99KJHqDbnkXADCe_Q5ex9cHiI/edit?usp=drivesdk</t>
  </si>
  <si>
    <t xml:space="preserve">B10- TRT/RN SEMANA MEIO AMBIENTE </t>
  </si>
  <si>
    <t>BOLETIM_RADIO_TJRN_28_05_2026_B10_TRTRN_SEMANA_MEIO_AMBIENTE_</t>
  </si>
  <si>
    <t>https://docs.google.com/document/d/1CjGY0J9vvM5kmIzYWOU8jttUbnd2Yp0uOKSm_tkhCr4/edit?usp=drivesdk</t>
  </si>
  <si>
    <t xml:space="preserve">B9- TJRN PLATAFORMA APOSTA CONDENADA </t>
  </si>
  <si>
    <t>BOLETIM_RADIO_TJRN_28_05_2026_B9_TJRN_PLATAFORMA_APOSTA_CONDENADA_</t>
  </si>
  <si>
    <t>https://docs.google.com/document/d/1reUADj-jaNbUSdBLNvpWjD0Vzy633u3I6E6KlwlEkGM/edit?usp=drivesdk</t>
  </si>
  <si>
    <t xml:space="preserve">B8- TJRN MUNICÍPIO GARANTIR CONSULTAS </t>
  </si>
  <si>
    <t>BOLETIM_RADIO_TJRN_28_05_2026_B8_TJRN_MUNICIPIO_GARANTIR_CONSULTAS_</t>
  </si>
  <si>
    <t>https://docs.google.com/document/d/1tYuZ0DhKIvizRgXfr4mPgve9e_XY7bcVI4PHE-JkLbo/edit?usp=drivesdk</t>
  </si>
  <si>
    <t>B7- TJRN PLATAFORMA PAGAMENTOS BLOQUEIA VALORES</t>
  </si>
  <si>
    <t>BOLETIM_RADIO_TJRN_28_05_2026_B7_TJRN_PLATAFORMA_PAGAMENTOS_BLOQUEIA_VALORES</t>
  </si>
  <si>
    <t>https://docs.google.com/document/d/1ii5gmC3r8lDz1UJeUGPa3hwAMimRSkAwsrg8Y-JXmQY/edit?usp=drivesdk</t>
  </si>
  <si>
    <t>05 - MAI - 26 / 28/05 - QUI</t>
  </si>
  <si>
    <t>B6- TJRN COOPERAÇÃO TÉCNICA</t>
  </si>
  <si>
    <t>BOLETIM_RADIO_TJRN_28_05_2026_B6_TJRN_COOPERACAO_TECNICA</t>
  </si>
  <si>
    <t>https://docs.google.com/document/d/1hrdwd44GVUqN59AU0pIpFZfikMzTtMq3msIMnOFwXKg/edit?usp=drivesdk</t>
  </si>
  <si>
    <t>B11 - ESMARN INSCRIÇÕES PLANILHAS ELETRÔNICAS</t>
  </si>
  <si>
    <t>BOLETIM_RADIO_TJRN_28_05_2026_B11_ESMARN_INSCRICOES_PLANILHAS_ELETRONICAS_</t>
  </si>
  <si>
    <t>https://docs.google.com/document/d/1dQG5uOrt6e7vsPd6kEocV7BjVYJknnCzi5pXVEQmRsk/edit?usp=drivesdk</t>
  </si>
  <si>
    <t>B5- TJRN PROJETO PRÊMIO INNOVARE</t>
  </si>
  <si>
    <t>BOLETIM_RADIO_TJRN_28_05_2026_B5_TJRN_PROJETO_PREMIO_INNOVARE</t>
  </si>
  <si>
    <t>https://docs.google.com/document/d/1jB3Y7defPFjsZJPPet4a3OMUh7NJcrhLtsZAijeOwcU/edit?usp=drivesdk</t>
  </si>
  <si>
    <t>B4- TJRN DEFINE SULAMITA MEMBRO TRE-RN</t>
  </si>
  <si>
    <t>BOLETIM_RADIO_TJRN_28_05_2026_B4_TJRN_DEFINE_SULAMITA_MEMBRO_TRE_RN</t>
  </si>
  <si>
    <t>https://docs.google.com/document/d/1jhnkB0-LOWPfCkxgR2ehGSL_UXa48Zumm1lR2ic9uNs/edit?usp=drivesdk</t>
  </si>
  <si>
    <t>B3- TJRN NOVA VERSÃO PJE</t>
  </si>
  <si>
    <t>BOLETIM_RADIO_TJRN_28_05_2026_B3_TJRN_NOVA_VERSAO_PJE</t>
  </si>
  <si>
    <t>https://docs.google.com/document/d/1jnaJ2PzneywP3qOIfmYT9YAsPQ0rM1J7xGBaqe5CPvY/edit?usp=drivesdk</t>
  </si>
  <si>
    <t>B2- TJRN VARA ASSÚ INTERINO</t>
  </si>
  <si>
    <t>BOLETIM_RADIO_TJRN_28_05_2026_B2_TJRN_VARA_ASSU_INTERINO</t>
  </si>
  <si>
    <t>https://docs.google.com/document/d/1_WGiBJD6DVbFEAqu4Jn485bWCHESHYonWQ9anODJaW8/edit?usp=drivesdk</t>
  </si>
  <si>
    <t>B1- TJRN MANTÉM NEGATIVA CADASTRO</t>
  </si>
  <si>
    <t>BOLETIM_RADIO_TJRN_28_05_2026_B1_TJRN_MANTEM_NEGATIVA_CADASTRO</t>
  </si>
  <si>
    <t>https://docs.google.com/document/d/1_KUuYYdZzHpXO1i36RnEwDBQYzYt7fkbKzSwfZLG6uo/edit?usp=drivesdk</t>
  </si>
  <si>
    <t>B10- MPRN CONDENAÇÃO BANCO COBRANÇA</t>
  </si>
  <si>
    <t>BOLETIM_RADIO_TJRN_27_05_2026_B10_MPRN_CONDENACAO_BANCO_COBRANCA</t>
  </si>
  <si>
    <t>https://docs.google.com/document/d/1WzJMZg2EXGR8mOQnSF-R7W7zK-8Pims00uFcayCK8aI/edit?usp=drivesdk</t>
  </si>
  <si>
    <t xml:space="preserve">B9- TJRN HOMEM CONDENADO PORTE ILEGAL ARMA </t>
  </si>
  <si>
    <t>BOLETIM_RADIO_TJRN_27_05_2026_B9_TJRN_HOMEM_CONDENADO_PORTE_ILEGAL_ARMA_</t>
  </si>
  <si>
    <t>https://docs.google.com/document/d/13ZevETyvqC3sMThdcPI8d1xE4HfmOavpCjjVdCpbW6o/edit?usp=drivesdk</t>
  </si>
  <si>
    <t>B8- TJRN BANCO COMPROVA USO CARTÃO</t>
  </si>
  <si>
    <t>BOLETIM_RADIO_TJRN_27_05_2026_B8_TJRN_BANCO_COMPROVA_USO_CARTAO</t>
  </si>
  <si>
    <t>https://docs.google.com/document/d/10zQXk8Z6GMNdbTrRVlR9Q03yJldMBxFHfgMic3d67RI/edit?usp=drivesdk</t>
  </si>
  <si>
    <t>B7- TJRN CONSUMIDORA INDENIZADA CANCELAMENTO VOO</t>
  </si>
  <si>
    <t>BOLETIM_RADIO_TJRN_27_05_2026_B7_TJRN_CONSUMIDORA_INDENIZADA_CANCELAMENTO_VOO</t>
  </si>
  <si>
    <t>https://docs.google.com/document/d/1bktVaeKRamAfFUH74fer6PkjkDHQdpb4dcoL8k1I3l0/edit?usp=drivesdk</t>
  </si>
  <si>
    <t xml:space="preserve">B6- TJRN CORREGEDORIA APRIMORAMENTO FUNDIÁRIA </t>
  </si>
  <si>
    <t>BOLETIM_RADIO_TJRN_27_05_2026_B6_TJRN_CORREGEDORIA_APRIMORAMENTO_FUNDIARIA_</t>
  </si>
  <si>
    <t>https://docs.google.com/document/d/13FCPsTxK5AawIyGERftK-f0DjV1NcI0HuiPyE-rRdVM/edit?usp=drivesdk</t>
  </si>
  <si>
    <t xml:space="preserve">B5- TJRN LEILÃO 85 IMÓVEIS </t>
  </si>
  <si>
    <t>BOLETIM_RADIO_TJRN_27_05_2026_B5_TJRN_LEILAO_85_IMOVEIS_</t>
  </si>
  <si>
    <t>https://docs.google.com/document/d/144D_qE65WpfrrtBdEXkNtIyS0X9PBAL6wBxAqysAxJA/edit?usp=drivesdk</t>
  </si>
  <si>
    <t xml:space="preserve">B4- TJRN ACESSIBILIDADE DIGITAL </t>
  </si>
  <si>
    <t>BOLETIM_RADIO_TJRN_27_05_2026_B4_TJRN_ACESSIBILIDADE_DIGITAL_</t>
  </si>
  <si>
    <t>https://docs.google.com/document/d/1KiKwiLQytl5MLfkMMYkh-FXCHEUm6lVJultZLnnm1zA/edit?usp=drivesdk</t>
  </si>
  <si>
    <t>B3- TJRN TRIBUNAIS PLANOS AÇÃO JUNHO</t>
  </si>
  <si>
    <t>BOLETIM_RADIO_TJRN_27_05_2026_B3_TJRN_TRIBUNAIS_PLANOS_ACAO_JUNHO</t>
  </si>
  <si>
    <t>https://docs.google.com/document/d/17_oGrkuSoB3Q7ZEkP58sOjQbKMdkQ0VxnLF-JDFAol0/edit?usp=drivesdk</t>
  </si>
  <si>
    <t>B2- TJRN ESTADO CONDENADO OPERAÇÃO POLICIAL</t>
  </si>
  <si>
    <t>BOLETIM_RADIO_TJRN_27_05_2026_B2_TJRN_ESTADO_CONDENADO_OPERACAO_POLICIAL</t>
  </si>
  <si>
    <t>https://docs.google.com/document/d/1C0A0rvDsSIKL8jnT4O7pwKsEp5RvJKOU1_3IS7m0JCU/edit?usp=drivesdk</t>
  </si>
  <si>
    <t>B1- TJRN ESTADO FORNECER APARELHO IDOSA</t>
  </si>
  <si>
    <t>BOLETIM_RADIO_TJRN_27_05_2026_B1_TJRN_ESTADO_FORNECER_APARELHO_IDOSA</t>
  </si>
  <si>
    <t>https://docs.google.com/document/d/1xwc746b5ygU7eS72Ut88j6WIct3nJUABOPVBJu2sJdE/edit?usp=drivesdk</t>
  </si>
  <si>
    <t xml:space="preserve">B10- DPERN REGULAMENTAÇÃO CANNABIS </t>
  </si>
  <si>
    <t>BOLETIM_RADIO_TJRN_26_05_2026_B10_DPERN_REGULAMENTACAO_CANNABIS_</t>
  </si>
  <si>
    <t>https://docs.google.com/document/d/1Yh0epNwygmFWTZ4QsphC1BqBqunMHL8hYSLuegcMWTo/edit?usp=drivesdk</t>
  </si>
  <si>
    <t xml:space="preserve">B9- OAB/RN PANFLETAGEM FALSO ADVOGADO </t>
  </si>
  <si>
    <t>BOLETIM_RADIO_TJRN_26_05_2026_B9_OABRN_PANFLETAGEM_FALSO_ADVOGADO_</t>
  </si>
  <si>
    <t>https://docs.google.com/document/d/118vh5zWzDaHacV691JH8dS9rYxBbYjBTrQB097yWGok/edit?usp=drivesdk</t>
  </si>
  <si>
    <t xml:space="preserve">B8- ESMARN INSCRIÇÕES CURSO COMPLIANCE </t>
  </si>
  <si>
    <t>BOLETIM_RADIO_TJRN_26_05_2026_B8_ESMARN_INSCRICOES_CURSO_COMPLIANCE_</t>
  </si>
  <si>
    <t>https://docs.google.com/document/d/1bibuO5qGOtgSmVazJeViLPk5a-342ri09M4iSxAci7U/edit?usp=drivesdk</t>
  </si>
  <si>
    <t xml:space="preserve">B7- TJRN PLANO SAÚDE INDENIZA GESTANTE </t>
  </si>
  <si>
    <t>BOLETIM_RADIO_TJRN_26_05_2026_B7_TJRN_PLANO_SAUDE_INDENIZA_GESTANTE_</t>
  </si>
  <si>
    <t>https://docs.google.com/document/d/106k6QlV1fDBscguKt67LfbXocW_0v59hPXEPoAM8fWo/edit?usp=drivesdk</t>
  </si>
  <si>
    <t xml:space="preserve">B6- TJRN PODCAST IA CIBERSEGURANÇA </t>
  </si>
  <si>
    <t>BOLETIM_RADIO_TJRN_26_05_2026_B6_TJRN_PODCAST_IA_CIBERSEGURANCA_</t>
  </si>
  <si>
    <t>https://docs.google.com/document/d/1jc3sI180S5tycCdG55FF9jmVHuAGI7CkHhXODdBJlVo/edit?usp=drivesdk</t>
  </si>
  <si>
    <t xml:space="preserve">B5- TJRN CURSO ADOÇÃO </t>
  </si>
  <si>
    <t>BOLETIM_RADIO_TJRN_26_05_2026_B5_TJRN_CURSO_ADOCAO_</t>
  </si>
  <si>
    <t>https://docs.google.com/document/d/1yTX5lTsdPd7nx-RlBs9wZmJ4juUuj-J-tECsUCTUxzs/edit?usp=drivesdk</t>
  </si>
  <si>
    <t xml:space="preserve">B4- TJRN VARA FAMILIA SELEÇÃO </t>
  </si>
  <si>
    <t>BOLETIM_RADIO_TJRN_26_05_2026_B4_TJRN_VARA_FAMILIA_SELECAO_</t>
  </si>
  <si>
    <t>https://docs.google.com/document/d/1O-bAUVAiuy2bk79R_EV-M8h-KHIJ3DF5Hhv9582NJjA/edit?usp=drivesdk</t>
  </si>
  <si>
    <t xml:space="preserve">B3- TJRN CONSUMIDORA VENCE AÇÃO </t>
  </si>
  <si>
    <t>BOLETIM_RADIO_TJRN_26_05_2026_B3_TJRN_CONSUMIDORA_VENCE_ACAO_</t>
  </si>
  <si>
    <t>https://docs.google.com/document/d/1lxkvre8_ZzF6R8BJOS1OxL0hmpglUupngTIhdT1kTmg/edit?usp=drivesdk</t>
  </si>
  <si>
    <t xml:space="preserve">B2- TJRN EMPRESAS RESPONSABILIZADAS CARGA </t>
  </si>
  <si>
    <t>BOLETIM_RADIO_TJRN_26_05_2026_B2_TJRN_EMPRESAS_RESPONSABILIZADAS_CARGA_</t>
  </si>
  <si>
    <t>https://docs.google.com/document/d/1CyBaRAfCgbghEWFJHGAmVoINI0uZVd3CKQ64vjDrvNU/edit?usp=drivesdk</t>
  </si>
  <si>
    <t xml:space="preserve">B1- TJRN ENCERRAMENTO SEMANA ADOÇÃO </t>
  </si>
  <si>
    <t>BOLETIM_RADIO_TJRN_26_05_2026_B1_TJRN_ENCERRAMENTO_SEMANA_ADOCAO_</t>
  </si>
  <si>
    <t>https://docs.google.com/document/d/175NvpH_9hZXPioU1A2Q3-d22wPJUAY6QdrHPprXgrzI/edit?usp=drivesdk</t>
  </si>
  <si>
    <t xml:space="preserve">B10- DPERN GARANTE LIMITE COPARTICIPAÇÃO </t>
  </si>
  <si>
    <t>BOLETIM_RADIO_TJRN_25_05_2026_B10_DPERN_GARANTE_LIMITE_COPARTICIPACAO_</t>
  </si>
  <si>
    <t>https://docs.google.com/document/d/12jhtzvWxJyfzGE6KSNn02DevAURI31mHJJnV6H-nKb0/edit?usp=drivesdk</t>
  </si>
  <si>
    <t xml:space="preserve">B9- TRT/RN EMPRESA PAGARÁ INDENIZAÇÃO </t>
  </si>
  <si>
    <t>BOLETIM_RADIO_TJRN_25_05_2026_B9_TRTRN_EMPRESA_PAGARA_INDENIZACAO_</t>
  </si>
  <si>
    <t>https://docs.google.com/document/d/1IzImBs2MUwWCpls3R6leddebo937WFFvnfiatzFHuXQ/edit?usp=drivesdk</t>
  </si>
  <si>
    <t xml:space="preserve">B8- TJRN CURSO ADOÇÃO </t>
  </si>
  <si>
    <t>BOLETIM_RADIO_TJRN_25_05_2026_B8_TJRN_CURSO_ADOCAO_</t>
  </si>
  <si>
    <t>https://docs.google.com/document/d/1WYJ62j8YhALlz745FuwaoYZfk3nj7_VjgplSJGy88Jg/edit?usp=drivesdk</t>
  </si>
  <si>
    <t xml:space="preserve">B7- TJRN NOVA BIBLIOTECA TJRN  </t>
  </si>
  <si>
    <t>BOLETIM_RADIO_TJRN_25_05_2026_B7_TJRN_NOVA_BIBLIOTECA_TJRN_</t>
  </si>
  <si>
    <t>https://docs.google.com/document/d/1A4aND5Ue02nEXkn5vQg6iF4C9CXRhxSibJbnisAqPh4/edit?usp=drivesdk</t>
  </si>
  <si>
    <t>B6- ESTÁGIO DIREITO MOSSORÓ</t>
  </si>
  <si>
    <t>LIV</t>
  </si>
  <si>
    <t>BOLETIM_RADIO_TJRN_25_05_2026_B6_ESTAGIO_DIREITO_MOSSORO</t>
  </si>
  <si>
    <t>https://docs.google.com/document/d/1sJ8tP-QkzWJDm3ol2RrJqAwJCfVnI9ZaaS3_49FIvr4/edit?usp=drivesdk</t>
  </si>
  <si>
    <t>B5- CONSUMIDORA VENCE CAUSA COSERN</t>
  </si>
  <si>
    <t>BOLETIM_RADIO_TJRN_25_05_2026_B5_CONSUMIDORA_VENCE_CAUSA_COSERN</t>
  </si>
  <si>
    <t>https://docs.google.com/document/d/1KFS0T7S2zQICdnaoVpltOjFHNtNCb5MwmC7SxCcC9Ls/edit?usp=drivesdk</t>
  </si>
  <si>
    <t>B4- RESPONSABILIDADE EMPRESA TRANSPORTE ACIDENTE</t>
  </si>
  <si>
    <t>BOLETIM_RADIO_TJRN_25_05_2026_B4_RESPONSABILIDADE_EMPRESA_TRANSPORTE_ACIDENTE</t>
  </si>
  <si>
    <t>https://docs.google.com/document/d/1Rbp0ikVjRhwqifr6oUjOca3_HzQWnaj6gi41jvGYswk/edit?usp=drivesdk</t>
  </si>
  <si>
    <t>B3- COPARTICIPAÇÃO LIMITADA TEA</t>
  </si>
  <si>
    <t>BOLETIM_RADIO_TJRN_25_05_2026_B3_COPARTICIPACAO_LIMITADA_TEA</t>
  </si>
  <si>
    <t>https://docs.google.com/document/d/16_ewonTujJxl6WbY-5AoiVCVkCD8TT1GqcA_moznJBM/edit?usp=drivesdk</t>
  </si>
  <si>
    <t>B2- CONDENAÇÃO MARCENEIRO</t>
  </si>
  <si>
    <t>BOLETIM_RADIO_TJRN_25_05_2026_B2_CONDENACAO_MARCENEIRO</t>
  </si>
  <si>
    <t>https://docs.google.com/document/d/16GLmEFUu8nwj96sj9AWHXXzlzH7EZi97ZlW9CZLkQYM/edit?usp=drivesdk</t>
  </si>
  <si>
    <t>B1- SEMANA ADOÇÃO ASSEMBLEIA</t>
  </si>
  <si>
    <t>BOLETIM_RADIO_TJRN_25_05_2026_B1_SEMANA_ADOCAO_ASSEMBLEIA</t>
  </si>
  <si>
    <t>https://docs.google.com/document/d/1E1F0LB1oDI6DIlhDp4O_XYBjVt_pdrLe3LxkUw5QnDw/edit?usp=drivesdk</t>
  </si>
  <si>
    <t xml:space="preserve">B10- TJRN CÂMARA CRIMINAL ANTECIPADA </t>
  </si>
  <si>
    <t>BOLETIM_RADIO_TJRN_22_05_2026_B10_TJRN_CAMARA_CRIMINAL_ANTECIPADA_</t>
  </si>
  <si>
    <t>https://docs.google.com/document/d/1i8RX2ho_kIfzBETdVcOnllefYn_ESK0ZtxcVTWQyPGY/edit?usp=drivesdk</t>
  </si>
  <si>
    <t xml:space="preserve">B9- TJRN COSERN CONDENADA OSCILAÇÕES </t>
  </si>
  <si>
    <t>BOLETIM_RADIO_TJRN_22_05_2026_B9_TJRN_COSERN_CONDENADA_OSCILACOES_</t>
  </si>
  <si>
    <t>https://docs.google.com/document/d/1hboDTn98mdbtg0UiLcWiz_eCL-OnlE75VhMoUGmmUw4/edit?usp=drivesdk</t>
  </si>
  <si>
    <t xml:space="preserve">B8- TJRN MORTE FETO DEFICIÊNCIA </t>
  </si>
  <si>
    <t>BOLETIM_RADIO_TJRN_22_05_2026_B8_TJRN_MORTE_FETO_DEFICIENCIA_</t>
  </si>
  <si>
    <t>https://docs.google.com/document/d/1PZFfy8AtQKk4wGU5BaEsp1v70G84DVrwm16CfLWEH_8/edit?usp=drivesdk</t>
  </si>
  <si>
    <t xml:space="preserve">B7- TJRN MANTIDA SEPARAÇÃO VALORES INDENIZATÓRIOS </t>
  </si>
  <si>
    <t>BOLETIM_RADIO_TJRN_22_05_2026_B7_TJRN_MANTIDA_SEPARACAO_VALORES_INDENIZATORIOS_</t>
  </si>
  <si>
    <t>https://docs.google.com/document/d/1rgk8P2gmU3CZGZrUs_XlnPSNVdXJ19jCZQKyEb2H2cs/edit?usp=drivesdk</t>
  </si>
  <si>
    <t xml:space="preserve">B6- TJRN FEMINICÍDIO JÚRI POPULAR </t>
  </si>
  <si>
    <t>BOLETIM_RADIO_TJRN_22_05_2026_B6_TJRN_FEMINICIDIO_JURI_POPULAR_</t>
  </si>
  <si>
    <t>https://docs.google.com/document/d/1ofJvdkX1UIh0kSlZ0SFo1_hFQzAU4vFYfNQbwzXwwXE/edit?usp=drivesdk</t>
  </si>
  <si>
    <t>B5- TJRN ÓBITO CRIANÇA MOSSORÓ</t>
  </si>
  <si>
    <t>BOLETIM_RADIO_TJRN_22_05_2026_B5_TJRN_OBITO_CRIANCA_MOSSORO</t>
  </si>
  <si>
    <t>https://docs.google.com/document/d/1jlmG83dJV4LetZ9GUISc_PIje_xfInigJKtAQRNT2Kw/edit?usp=drivesdk</t>
  </si>
  <si>
    <t>B4- TJRN FIXA PRAZO 60 DIAS IDEMA</t>
  </si>
  <si>
    <t>BOLETIM_RADIO_TJRN_22_05_2026_B4_TJRN_FIXA_PRAZO_60_DIAS_IDEMA</t>
  </si>
  <si>
    <t>https://docs.google.com/document/d/1gxEuAwuTIf14FbCQUdXUASbbW9XN7JPZ64pnqADF2hQ/edit?usp=drivesdk</t>
  </si>
  <si>
    <t>B3- TJRN DESTACA FORTALECIMENTO REDE PROTEÇÃO</t>
  </si>
  <si>
    <t>BOLETIM_RADIO_TJRN_22_05_2026_B3_TJRN_DESTACA_FORTALECIMENTO_REDE_PROTECAO</t>
  </si>
  <si>
    <t>https://docs.google.com/document/d/1DpQOptzJxlMmGSCKRHp4lhRck0XOC7YbzAnN1h39OxM/edit?usp=drivesdk</t>
  </si>
  <si>
    <t>B2- TJRN SUSPENDE LICITAÇÃO SAMU</t>
  </si>
  <si>
    <t>BOLETIM_RADIO_TJRN_22_05_2026_B2_TJRN_SUSPENDE_LICITACAO_SAMU</t>
  </si>
  <si>
    <t>https://docs.google.com/document/d/11UWgSJ-OySXO5yJJl46EzoLdJGyeg31rQhWusfxRR3k/edit?usp=drivesdk</t>
  </si>
  <si>
    <t xml:space="preserve">B1- TJRN INDISPONIBILIDADE SÁBADO </t>
  </si>
  <si>
    <t>BOLETIM_RADIO_TJRN_22_05_2026_B1_TJRN_INDISPONIBILIDADE_SABADO_</t>
  </si>
  <si>
    <t>https://docs.google.com/document/d/1DEQ-aB2F-rYZUlCsGVq4pndvxW9xZVvlywTKRXgeCaY/edit?usp=drivesdk</t>
  </si>
  <si>
    <t xml:space="preserve">B10- TRT/RN CARTILHA RESPEITO ASSÉDIO MORAL </t>
  </si>
  <si>
    <t>BOLETIM_RADIO_TJRN_21_05_2026_B10_TRTRN_CARTILHA_RESPEITO_ASSEDIO_MORAL_</t>
  </si>
  <si>
    <t>https://docs.google.com/document/d/1MpqZ5dsBN_AGNOjXWaW3xYxv_0fEz0NBOcvXYyMUUWk/edit?usp=drivesdk</t>
  </si>
  <si>
    <t>B9- OAB/RN OBSERVATÓRIO PUBLICIDADE</t>
  </si>
  <si>
    <t>BOLETIM_RADIO_TJRN_21_05_2026_B9_OABRN_OBSERVATORIO_PUBLICIDADE</t>
  </si>
  <si>
    <t>https://docs.google.com/document/d/1Rvjj0qcNykvD1zVR7kaw8wAGnQO3DTpPfBeSUE5W_84/edit?usp=drivesdk</t>
  </si>
  <si>
    <t xml:space="preserve">B8- TJRN LANÇA BIBLIOTECA DIGITAL </t>
  </si>
  <si>
    <t>BOLETIM_RADIO_TJRN_21_05_2026_B8_TJRN_LANCA_BIBLIOTECA_DIGITAL_</t>
  </si>
  <si>
    <t>https://docs.google.com/document/d/1wHJXHdLtk7OPLEtVLWfE5aT88_vEL3SNDSdKL4cAVmU/edit?usp=drivesdk</t>
  </si>
  <si>
    <t xml:space="preserve">B7- TJRN ESTÁGIO ESMARN </t>
  </si>
  <si>
    <t>BOLETIM_RADIO_TJRN_21_05_2026_B7_TJRN_ESTAGIO_ESMARN_</t>
  </si>
  <si>
    <t>https://docs.google.com/document/d/1dluHyLqFVbNZgs58g7HR3zN04D9XFcgvUQPNjsxpD9Y/edit?usp=drivesdk</t>
  </si>
  <si>
    <t>B6- TJRN FALHA PRESTAÇÃO SERVIÇOS TELECOMUNICAÇÕES</t>
  </si>
  <si>
    <t>BOLETIM_RADIO_TJRN_21_05_2026_B6_TJRN_FALHA_PRESTACAO_SERVICOS_TELECOMUNICACOES</t>
  </si>
  <si>
    <t>https://docs.google.com/document/d/1jtmXEe6MGfuB1JjJT0FSB0PoFD3nFAeX5j-iSix81nE/edit?usp=drivesdk</t>
  </si>
  <si>
    <t>B5- TJRN DETERMINA RESTITUIÇÃO CONSUMIDORES</t>
  </si>
  <si>
    <t>BOLETIM_RADIO_TJRN_21_05_2026_B5_TJRN_DETERMINA_RESTITUICAO_CONSUMIDORES</t>
  </si>
  <si>
    <t>https://docs.google.com/document/d/13u2hJ19J-pDz1e79IxHBPLGuqXl0wVzsI0OKRpq-ZhA/edit?usp=drivesdk</t>
  </si>
  <si>
    <t xml:space="preserve">B4- TJRN CONTRATAÇÕES NÃO GERAM NOMEAÇÕES </t>
  </si>
  <si>
    <t>BOLETIM_RADIO_TJRN_21_05_2026_B4_TJRN_CONTRATACOES_NAO_GERAM_NOMEACOES_</t>
  </si>
  <si>
    <t>https://docs.google.com/document/d/1pcnJYX7qtxzW-adi-JmkT6ZAb81uzs3LsLbvKHWh1A8/edit?usp=drivesdk</t>
  </si>
  <si>
    <t>B3- TJRN REDE SOCIAL BLOQUEIA PERFIL</t>
  </si>
  <si>
    <t>BOLETIM_RADIO_TJRN_21_05_2026_B3_TJRN_REDE_SOCIAL_BLOQUEIA_PERFIL</t>
  </si>
  <si>
    <t>https://docs.google.com/document/d/1i8B7e9huhsNN6sxWwvsc42VHx5VTjvdA2jFbQQeGuqU/edit?usp=drivesdk</t>
  </si>
  <si>
    <t>B2- TJRN DESCIMPRIMENTO CONRATO VERBAL</t>
  </si>
  <si>
    <t>BOLETIM_RADIO_TJRN_21_05_2026_B2_TJRN_DESCIMPRIMENTO_CONRATO_VERBAL</t>
  </si>
  <si>
    <t>https://docs.google.com/document/d/1BG6nvORtUQo4uHEIDupxCARzyU65sER65FGwRxEdtFw/edit?usp=drivesdk</t>
  </si>
  <si>
    <t xml:space="preserve">B1- TJRN PM ESQUIZOFRENIA </t>
  </si>
  <si>
    <t>BOLETIM_RADIO_TJRN_21_05_2026_B1_TJRN_PM_ESQUIZOFRENIA_</t>
  </si>
  <si>
    <t>https://docs.google.com/document/d/1lxPU3joDwbbNfpYM_amVAELnTmiof-vRcgr7B7H-Gx0/edit?usp=drivesdk</t>
  </si>
  <si>
    <t>B10 - ESMARN CAPACITAÇÃO GESTÃO RISCO</t>
  </si>
  <si>
    <t>BOLETIM_RADIO_TJRN_20_05_2026_B10_ESMARN_CAPACITACAO_GESTAO_RISCO</t>
  </si>
  <si>
    <t>https://docs.google.com/document/d/1oFJ-jva5hAmhodvuIhO0J7nGJsKZi8ilFABu5fkutSs/edit?usp=drivesdk</t>
  </si>
  <si>
    <t xml:space="preserve">B9- TRT/RN SEMANA NACIONAL CONCILIAÇÃO </t>
  </si>
  <si>
    <t>BOLETIM_RADIO_TJRN_20_05_2026_B9_TRTRN_SEMANA_NACIONAL_CONCILIACAO_</t>
  </si>
  <si>
    <t>https://docs.google.com/document/d/1V0_zwnrOfy6DxCB072R8n64BazCCDzjpM2mTyqrAOrk/edit?usp=drivesdk</t>
  </si>
  <si>
    <t>B8- MPRN VISITAS MATERNIDADES</t>
  </si>
  <si>
    <t>BOLETIM_RADIO_TJRN_20_05_2026_B8_MPRN_VISITAS_MATERNIDADES</t>
  </si>
  <si>
    <t>https://docs.google.com/document/d/1IsHHmSXFu-LXo9S8GC3P2Fuq5mkoRb2cfsD8cu5EIlU/edit?usp=drivesdk</t>
  </si>
  <si>
    <t>B7- MPRN MEDIDAS PRESERVAÇÃO PATRIMÔNIO</t>
  </si>
  <si>
    <t>BOLETIM_RADIO_TJRN_20_05_2026_B7_MPRN_MEDIDAS_PRESERVACAO_PATRIMONIO</t>
  </si>
  <si>
    <t>https://docs.google.com/document/d/1Ds5El0EoIp-eaqMFeDjITbFVcr6D6yj-e9pGO8TnFok/edit?usp=drivesdk</t>
  </si>
  <si>
    <t>B6- CONDENAÇÃO VENDEDOR CARRO</t>
  </si>
  <si>
    <t>BOLETIM_RADIO_TJRN_20_05_2026_B6_CONDENACAO_VENDEDOR_CARRO</t>
  </si>
  <si>
    <t>https://docs.google.com/document/d/1U9ILD4djxwdK_yvvMpi7df9GiNQh6BP4mgcEsW-2Bj0/edit?usp=drivesdk</t>
  </si>
  <si>
    <t>B5- RESPONSÁVEL INTERINO SÃO BENTO NORTE</t>
  </si>
  <si>
    <t>BOLETIM_RADIO_TJRN_20_05_2026_B5_RESPONSAVEL_INTERINO_SAO_BENTO_NORTE</t>
  </si>
  <si>
    <t>https://docs.google.com/document/d/1WDuqabMJ-dvU6-UljVmS44mI-23TGKFZY1vMQ1sm6GA/edit?usp=drivesdk</t>
  </si>
  <si>
    <t>B4- COMÉRCIO ILEGAL ARMAS JULGAMENTO</t>
  </si>
  <si>
    <t>BOLETIM_RADIO_TJRN_20_05_2026_B4_COMERCIO_ILEGAL_ARMAS_JULGAMENTO</t>
  </si>
  <si>
    <t>https://docs.google.com/document/d/1N3JEdk-3oKf2f8FITEqSUZP1yRjIqeqroStFujfRxaQ/edit?usp=drivesdk</t>
  </si>
  <si>
    <t>B3- MEDICAMENTO DOMICILIAR PLANO SAÚDE</t>
  </si>
  <si>
    <t>BOLETIM_RADIO_TJRN_20_05_2026_B3_MEDICAMENTO_DOMICILIAR_PLANO_SAUDE</t>
  </si>
  <si>
    <t>https://docs.google.com/document/d/14AhNy6MgclG4O93pidccpIM_TYpK1n3TZ9Q6GLypNyA/edit?usp=drivesdk</t>
  </si>
  <si>
    <t>B2- INDENIZAÇÃO GELADEIRA DEFEITUOSA</t>
  </si>
  <si>
    <t>BOLETIM_RADIO_TJRN_20_05_2026_B2_INDENIZACAO_GELADEIRA_DEFEITUOSA</t>
  </si>
  <si>
    <t>https://docs.google.com/document/d/1fwwoTjerZZshOYM61CA6aM8gy0iRSIdbpKaD6a6MA90/edit?usp=drivesdk</t>
  </si>
  <si>
    <t>B1- ABERTURA SEMANA ESTADUAL ADOÇÃO</t>
  </si>
  <si>
    <t>BOLETIM_RADIO_TJRN_20_05_2026_B1_ABERTURA_SEMANA_ESTADUAL_ADOCAO</t>
  </si>
  <si>
    <t>https://docs.google.com/document/d/1KBBT-7-P7AfCEKQYfJF4bq7kkLm0XLQ-QkcTcObf_Mw/edit?usp=drivesdk</t>
  </si>
  <si>
    <t xml:space="preserve">B10- TJRN PROJETO GERENCIAMENTO EVIDÊNCIA DIGITAIS </t>
  </si>
  <si>
    <t>BOLETIM_RADIO_TJRN_19_05_2026_B10_TJRN_PROJETO_GERENCIAMENTO_EVIDENCIA_DIGITAIS_</t>
  </si>
  <si>
    <t>https://docs.google.com/document/d/1rjfdjW2YLEykpEZRBJK-XZ35nB-Q43i0KkJJ1wzBYQ0/edit?usp=drivesdk</t>
  </si>
  <si>
    <t xml:space="preserve">B9- TJRN VARA CIVEL PARNAMIRIM SELEÇÃO </t>
  </si>
  <si>
    <t>BOLETIM_RADIO_TJRN_19_05_2026_B9_TJRN_VARA_CIVEL_PARNAMIRIM_SELECAO_</t>
  </si>
  <si>
    <t>https://docs.google.com/document/d/1ILZLUNs3StJghDUDMv1VAnkc5NJmBj-Savgs1Ta8Lqs/edit?usp=drivesdk</t>
  </si>
  <si>
    <t xml:space="preserve">B8- TJRN IDOSO INDENIZADO DISPOSITIVO COM DEFEITO </t>
  </si>
  <si>
    <t>BOLETIM_RADIO_TJRN_19_05_2026_B8_TJRN_IDOSO_INDENIZADO_DISPOSITIVO_COM_DEFEITO_</t>
  </si>
  <si>
    <t>https://docs.google.com/document/d/1YKg-1WHYj7IZuha53cZAaeR-fIxslvUrgetEdbgMEyo/edit?usp=drivesdk</t>
  </si>
  <si>
    <t xml:space="preserve">B7- TJRN JULGADO RECURSO ACUSADO ESTELIONATO </t>
  </si>
  <si>
    <t>BOLETIM_RADIO_TJRN_19_05_2026_B7_TJRN_JULGADO_RECURSO_ACUSADO_ESTELIONATO_</t>
  </si>
  <si>
    <t>https://docs.google.com/document/d/1OZQEfDDYkxkw80cs8gPh7DTj6ocevymjDgMF3xycTsU/edit?usp=drivesdk</t>
  </si>
  <si>
    <t xml:space="preserve">B6- TJRN MANTIDO JÚRI ACUSADO HOMICÍDIO </t>
  </si>
  <si>
    <t>BOLETIM_RADIO_TJRN_19_05_2026_B6_TJRN_MANTIDO_JURI_ACUSADO_HOMICIDIO_</t>
  </si>
  <si>
    <t>https://docs.google.com/document/d/14G6PLctzP61ccCTUwPIo4BY8sd7mh7Ae7V7awPRQobk/edit?usp=drivesdk</t>
  </si>
  <si>
    <t xml:space="preserve">B5- TJRN RECONHECE FALHA REDE SOCIAL </t>
  </si>
  <si>
    <t>BOLETIM_RADIO_TJRN_19_05_2026_B5_TJRN_RECONHECE_FALHA_REDE_SOCIAL_</t>
  </si>
  <si>
    <t>https://docs.google.com/document/d/1R6EPE5g5uU7Z22g3BYSo1W7AnxtbKKOKNoxoMFOh0E8/edit?usp=drivesdk</t>
  </si>
  <si>
    <t xml:space="preserve">B4- TJRN NEGA AÇÃO POPULAR VEREADOR </t>
  </si>
  <si>
    <t>BOLETIM_RADIO_TJRN_19_05_2026_B4_TJRN_NEGA_ACAO_POPULAR_VEREADOR_</t>
  </si>
  <si>
    <t>https://docs.google.com/document/d/1YIi6yZ5UPoodNaQQ-q8aaSuLdECZx2GgGaUX_tnw0DY/edit?usp=drivesdk</t>
  </si>
  <si>
    <t>B3- TJRN JUSTIÇ@RN</t>
  </si>
  <si>
    <t>BOLETIM_RADIO_TJRN_19_05_2026_B3_TJRN_JUSTICRN</t>
  </si>
  <si>
    <t>https://docs.google.com/document/d/1BYrkma3Ri2Iz9LYOlYFnegLmAIjsDHyS335ho-fRbIg/edit?usp=drivesdk</t>
  </si>
  <si>
    <t xml:space="preserve">B2- TJRN ETAPA PRESENCIAL HETEROIDENTIFICAÇÃO </t>
  </si>
  <si>
    <t>BOLETIM_RADIO_TJRN_19_05_2026_B2_TJRN_ETAPA_PRESENCIAL_HETEROIDENTIFICACAO_</t>
  </si>
  <si>
    <t>https://docs.google.com/document/d/13E5BJkoFDPhKCd1y3vdFOJNaPw1dlbchL6Gs8DZ8yNA/edit?usp=drivesdk</t>
  </si>
  <si>
    <t xml:space="preserve">B1- TJRN COMISSÃO RESULTADO FINAL ENAM </t>
  </si>
  <si>
    <t>BOLETIM_RADIO_TJRN_19_05_2026_B1_TJRN_COMISSAO_RESULTADO_FINAL_ENAM_</t>
  </si>
  <si>
    <t>https://docs.google.com/document/d/1NjMVwZwLgzFfe3rWfR1SF08yhwRvmEtzvURklluT0Y0/edit?usp=drivesdk</t>
  </si>
  <si>
    <t>B10- DPERN PROCESSO SELETIVO EXTREMOZ</t>
  </si>
  <si>
    <t>BOLETIM_RADIO_TJRN_18_05_2026_B10_DPERN_PROCESSO_SELETIVO_EXTREMOZ</t>
  </si>
  <si>
    <t>https://docs.google.com/document/d/1AhsctXSjGdGkynPxTQiuBszktnP42OZFFzz2mDmeFQY/edit?usp=drivesdk</t>
  </si>
  <si>
    <t>B9- TRE/RN ELEIÇÕES PREFEITOS</t>
  </si>
  <si>
    <t>BOLETIM_RADIO_TJRN_18_05_2026_B9_TRERN_ELEICOES_PREFEITOS</t>
  </si>
  <si>
    <t>https://docs.google.com/document/d/1-X5U7WYJd9KIgO42NpNdNA5cmwfk4v8bZwWpf8DAmvw/edit?usp=drivesdk</t>
  </si>
  <si>
    <t>B8- MODERNIZAÇÃO REDE CORPORATIVA</t>
  </si>
  <si>
    <t>BOLETIM_RADIO_TJRN_18_05_2026_B8_MODERNIZACAO_REDE_CORPORATIVA</t>
  </si>
  <si>
    <t>https://docs.google.com/document/d/1CujR-SGIfu-DhSbu6290XgJnIiVIFq-u4Jsxv2uGkOU/edit?usp=drivesdk</t>
  </si>
  <si>
    <t>B7- ALUNO AGREDIDO INDENIZAÇÃO</t>
  </si>
  <si>
    <t>BOLETIM_RADIO_TJRN_18_05_2026_B7_ALUNO_AGREDIDO_INDENIZACAO</t>
  </si>
  <si>
    <t>https://docs.google.com/document/d/1Q547wnb1tC6ebIcT7XPMDB5N_lp-gTys4cuiMSfdoK0/edit?usp=drivesdk</t>
  </si>
  <si>
    <t>B6- FALHA COBERTURA OFTALMOLÓGICA</t>
  </si>
  <si>
    <t>BOLETIM_RADIO_TJRN_18_05_2026_B6_FALHA_COBERTURA_OFTALMOLOGICA</t>
  </si>
  <si>
    <t>https://docs.google.com/document/d/1XrziZ8Hols6CkssEt6ONgneh-x1-VmlWUFgDvtROxtU/edit?usp=drivesdk</t>
  </si>
  <si>
    <t>B5- CUSTEIO CIRURGIA PRÓTESE MAMÁRIA</t>
  </si>
  <si>
    <t>BOLETIM_RADIO_TJRN_18_05_2026_B5_CUSTEIO_CIRURGIA_PROTESE_MAMARIA</t>
  </si>
  <si>
    <t>https://docs.google.com/document/d/1OAnc4B1cg2YCvhzsbEGljoJnkOJ8OnrHuewpKXuLIkM/edit?usp=drivesdk</t>
  </si>
  <si>
    <t>B4- INDENIZAÇÃO FURTO MOTOCICLETA</t>
  </si>
  <si>
    <t>BOLETIM_RADIO_TJRN_18_05_2026_B4_INDENIZACAO_FURTO_MOTOCICLETA</t>
  </si>
  <si>
    <t>https://docs.google.com/document/d/195TANQZmaKupU6B06nhilw_m_hOoZDw_fzAEEob1zIs/edit?usp=drivesdk</t>
  </si>
  <si>
    <t>B3- CONDENAÇÃO COMPANHIA AÉREA ATRASO</t>
  </si>
  <si>
    <t>BOLETIM_RADIO_TJRN_18_05_2026_B3_CONDENACAO_COMPANHIA_AEREA_ATRASO</t>
  </si>
  <si>
    <t>https://docs.google.com/document/d/1mrwigsWQNPJXJuewk_EK0hYxiHd7XoxLpNQ8KNGjolA/edit?usp=drivesdk</t>
  </si>
  <si>
    <t>B2- MEMBRO SUPLENTE JURISTA</t>
  </si>
  <si>
    <t>BOLETIM_RADIO_TJRN_18_05_2026_B2_MEMBRO_SUPLENTE_JURISTA</t>
  </si>
  <si>
    <t>https://docs.google.com/document/d/1MqQYHbbNCBKScI2f4PfWffXwsYZ2dqjHfVhFV8rlzCY/edit?usp=drivesdk</t>
  </si>
  <si>
    <t>B1- OBRIGATORIEDADE AUTENTICAÇÃO MULTIFATOR</t>
  </si>
  <si>
    <t>BOLETIM_RADIO_TJRN_18_05_2026_B1_OBRIGATORIEDADE_AUTENTICACAO_MULTIFATOR</t>
  </si>
  <si>
    <t>https://docs.google.com/document/d/18ogF5-cBZ0UYrM4h4NOndo7LvlP4QeR6IPLVGVCv_Dk/edit?usp=drivesdk</t>
  </si>
  <si>
    <t>B10- TRT SEMANA COMBATE ASSÉDIO</t>
  </si>
  <si>
    <t>BOLETIM_RADIO_TJRN_15_05_2026_B10_TRT_SEMANA_COMBATE_ASSEDIO</t>
  </si>
  <si>
    <t>https://docs.google.com/document/d/1yjhsMfCtW6M5i5-PhFm4lS-DZEX_cb9_NwvAHeN_HUk/edit?usp=drivesdk</t>
  </si>
  <si>
    <t>B9- TRT DENÚNCIAS ASSÉDIO MORAL</t>
  </si>
  <si>
    <t>BOLETIM_RADIO_TJRN_15_05_2026_B9_TRT_DENUNCIAS_ASSEDIO_MORAL</t>
  </si>
  <si>
    <t>https://docs.google.com/document/d/1gf_kzUWXTGBwUaVHfhYl1LfkfwohIjKbs9C-n-irJfw/edit?usp=drivesdk</t>
  </si>
  <si>
    <t>B8- MPRN GESTORES SAÚDE PÚBLICA</t>
  </si>
  <si>
    <t>BOLETIM_RADIO_TJRN_15_05_2026_B8_MPRN_GESTORES_SAUDE_PUBLICA</t>
  </si>
  <si>
    <t>https://docs.google.com/document/d/13OW_sqLG4z8weY4C0fnlpiW8-_ivzXq66tSwX_RGMRA/edit?usp=drivesdk</t>
  </si>
  <si>
    <t>B7-  MPRN COMBATE VIOLÊNCIA SEXUAL INAFNTIL</t>
  </si>
  <si>
    <t>BOLETIM_RADIO_TJRN_15_05_2026_B7_MPRN_COMBATE_VIOLENCIA_SEXUAL_INAFNTIL</t>
  </si>
  <si>
    <t>https://docs.google.com/document/d/1tRUNVG3lul0IQ-KxbGC2f2QpKnguYy4ZMQAxc4sKRPg/edit?usp=drivesdk</t>
  </si>
  <si>
    <t>B6-  RESULTADO HETEROIDENTIFICAÇÃO ENAC</t>
  </si>
  <si>
    <t>BOLETIM_RADIO_TJRN_15_05_2026_B6_RESULTADO_HETEROIDENTIFICACAO_ENAC</t>
  </si>
  <si>
    <t>https://docs.google.com/document/d/1pDkx5IywVF_6vpREL1d3JotGZKpMm7xyEaD4sGKLRxg/edit?usp=drivesdk</t>
  </si>
  <si>
    <t>B5-  AUDIÊNCIA MEDIAÇÃO EXTREMOZ</t>
  </si>
  <si>
    <t>BOLETIM_RADIO_TJRN_15_05_2026_B5_AUDIENCIA_MEDIACAO_EXTREMOZ</t>
  </si>
  <si>
    <t>https://docs.google.com/document/d/1bipTZDHc1rN5E8SusA79E_-QpAv7YnG621YzHGRQJ7I/edit?usp=drivesdk</t>
  </si>
  <si>
    <t>B4-  NOVA VERSÃO NUPERJ</t>
  </si>
  <si>
    <t>BOLETIM_RADIO_TJRN_15_05_2026_B4_NOVA_VERSAO_NUPERJ</t>
  </si>
  <si>
    <t>https://docs.google.com/document/d/16phdT5FVVzIKtfEOkvjfpOVrSfw4bM1mXiLvY78iVg0/edit?usp=drivesdk</t>
  </si>
  <si>
    <t>B3-  GOLPE VAZAMENTO DADOS</t>
  </si>
  <si>
    <t>BOLETIM_RADIO_TJRN_15_05_2026_B3_GOLPE_VAZAMENTO_DADOS</t>
  </si>
  <si>
    <t>https://docs.google.com/document/d/1KEy_tOvAEs049WMGPwLEzjs8w36WxcEA02f-YjZ0ufg/edit?usp=drivesdk</t>
  </si>
  <si>
    <t>B2-  CANDIDATO APTO HETEROIDENTIFICAÇÃO</t>
  </si>
  <si>
    <t>BOLETIM_RADIO_TJRN_15_05_2026_B2_CANDIDATO_APTO_HETEROIDENTIFICACAO</t>
  </si>
  <si>
    <t>https://docs.google.com/document/d/16w6ey4cDZzuClBQLNjKolIcHvvhkmSwhDPJIHAdo7TY/edit?usp=drivesdk</t>
  </si>
  <si>
    <t>B1-  FALHA PROCEDIMENTO MÉDICO</t>
  </si>
  <si>
    <t>BOLETIM_RADIO_TJRN_15_05_2026_B1_FALHA_PROCEDIMENTO_MEDICO</t>
  </si>
  <si>
    <t>https://docs.google.com/document/d/1s6au5jiR9XuZmRf2gunbZABRHgw_omehOuGeb9f4FKc/edit?usp=drivesdk</t>
  </si>
  <si>
    <t>B10- TRT/RN RECEBEU 600 MIL CASOS</t>
  </si>
  <si>
    <t>BOLETIM_RADIO_TJRN_14_05_2026_B10_TRTRN_RECEBEU_600_MIL_CASOS</t>
  </si>
  <si>
    <t>https://docs.google.com/document/d/1EMD97_wbTRyJEF1BtMZViGtP-cuEkd24bcsQCWF2sO4/edit?usp=drivesdk</t>
  </si>
  <si>
    <t>B9-  ACORDO DADOS CRIMINAIS</t>
  </si>
  <si>
    <t>BOLETIM_RADIO_TJRN_14_05_2026_B9_ACORDO_DADOS_CRIMINAIS</t>
  </si>
  <si>
    <t>https://docs.google.com/document/d/1nxi9myChVWq56vQ3hBEMlKjKAZYldggXCDWMFb-W-2k/edit?usp=drivesdk</t>
  </si>
  <si>
    <t>B8-  MPRN MUDANÇAS CONCURSO EXTREMOZ</t>
  </si>
  <si>
    <t>BOLETIM_RADIO_TJRN_14_05_2026_B8_MPRN_MUDANCAS_CONCURSO_EXTREMOZ</t>
  </si>
  <si>
    <t>https://docs.google.com/document/d/1mk9KoAnJDYRixr_-4qa0SZ0U0_1n8l1vGFC9juPwasA/edit?usp=drivesdk</t>
  </si>
  <si>
    <t>B7-  ESTÁGIO EXECUÇÃO TRIBUTÁRIA</t>
  </si>
  <si>
    <t>BOLETIM_RADIO_TJRN_14_05_2026_B7_ESTAGIO_EXECUCAO_TRIBUTARIA</t>
  </si>
  <si>
    <t>https://docs.google.com/document/d/1fUFCtT4fLjJpArRpNdGN7HYvAKgpqXnWTz4YB-hAbh0/edit?usp=drivesdk</t>
  </si>
  <si>
    <t>B6-  RESPONSÁVEL INTERINO MESSIAS TARGINO</t>
  </si>
  <si>
    <t>BOLETIM_RADIO_TJRN_14_05_2026_B6_RESPONSAVEL_INTERINO_MESSIAS_TARGINO</t>
  </si>
  <si>
    <t>https://docs.google.com/document/d/1ck1phjzq86oXI_XN126Oczlsxasf24NfzG1MzuzsgP4/edit?usp=drivesdk</t>
  </si>
  <si>
    <t>B5-  INDENIZAÇÃO PERDA VOO</t>
  </si>
  <si>
    <t>BOLETIM_RADIO_TJRN_14_05_2026_B5_INDENIZACAO_PERDA_VOO</t>
  </si>
  <si>
    <t>https://docs.google.com/document/d/1WtUYz1I1yWGxZjqzWc-bInbNco3PsTd_4uayvWa09GU/edit?usp=drivesdk</t>
  </si>
  <si>
    <t>B4-  MUTIRÃO PROCESSOS ASSÉDIO</t>
  </si>
  <si>
    <t>BOLETIM_RADIO_TJRN_14_05_2026_B4_MUTIRAO_PROCESSOS_ASSEDIO</t>
  </si>
  <si>
    <t>https://docs.google.com/document/d/1bEf54sHAB2kjwfPFeiZSE4BcTrZOFuiW3Bq15DRuV7I/edit?usp=drivesdk</t>
  </si>
  <si>
    <t>B3-  RESSARCIMENTO CONSERTO VEÍCULO</t>
  </si>
  <si>
    <t>BOLETIM_RADIO_TJRN_14_05_2026_B3_RESSARCIMENTO_CONSERTO_VEICULO</t>
  </si>
  <si>
    <t>https://docs.google.com/document/d/1tq8sP3jEAsNnBeJFTvg9xTreVj6zCk8isda6Jhq2iXA/edit?usp=drivesdk</t>
  </si>
  <si>
    <t>B2-  FRAUDE VENDA CELULAR</t>
  </si>
  <si>
    <t>BOLETIM_RADIO_TJRN_14_05_2026_B2_FRAUDE_VENDA_CELULAR</t>
  </si>
  <si>
    <t>https://docs.google.com/document/d/10najp0HbWgXO6OOPGdAOI7TRORsft6sTrjRSUjtHGg8/edit?usp=drivesdk</t>
  </si>
  <si>
    <t>B1-  LINHA TRANSMISSÃO CEARÁ-MIRIM</t>
  </si>
  <si>
    <t>BOLETIM_RADIO_TJRN_14_05_2026_B1_LINHA_TRANSMISSAO_CEARA_MIRIM</t>
  </si>
  <si>
    <t>https://docs.google.com/document/d/1NxJNztIvFVLpI4qkn611kc07zBFDt6YVIQi3EwDqkwc/edit?usp=drivesdk</t>
  </si>
  <si>
    <t>B10-  FRAUDE FAST FOOD</t>
  </si>
  <si>
    <t>BOLETIM_RADIO_TJRN_13_05_2026_B10_FRAUDE_FAST_FOOD</t>
  </si>
  <si>
    <t>https://docs.google.com/document/d/1lsdRASb0NCcGkT-GyPc0MH6Oo845lLoWmwZ44-Y6dBw/edit?usp=drivesdk</t>
  </si>
  <si>
    <t>B9-  TJ ACADÊMICO</t>
  </si>
  <si>
    <t>BOLETIM_RADIO_TJRN_13_05_2026_B9_TJ_ACADEMICO</t>
  </si>
  <si>
    <t>https://docs.google.com/document/d/1IQUnF8aOINffcyIDteks5d0lq_nQYCwWtHTYjZnJJN0/edit?usp=drivesdk</t>
  </si>
  <si>
    <t>B8-  ENCONTRO NACIONAL PECUNIÁRIAS</t>
  </si>
  <si>
    <t>BOLETIM_RADIO_TJRN_13_05_2026_B8_ENCONTRO_NACIONAL_PECUNIARIAS</t>
  </si>
  <si>
    <t>https://docs.google.com/document/d/18zoDjtdh6xTs8kxSjPjKI20PwcOv2Fyt1EG1-_wEu7c/edit?usp=drivesdk</t>
  </si>
  <si>
    <t>B7-  PROJETO EXPRESSO MOSSORÓ</t>
  </si>
  <si>
    <t>BOLETIM_RADIO_TJRN_13_05_2026_B7_PROJETO_EXPRESSO_MOSSORO</t>
  </si>
  <si>
    <t>https://docs.google.com/document/d/1M0yxv8VvRXShmAxz4Xv70yuvF3y_XlsQb9spBXqMXgo/edit?usp=drivesdk</t>
  </si>
  <si>
    <t>B6-  PESQUISA VIOLÊNCIA DOMÉSTICA RN</t>
  </si>
  <si>
    <t>BOLETIM_RADIO_TJRN_13_05_2026_B6_PESQUISA_VIOLENCIA_DOMESTICA_RN</t>
  </si>
  <si>
    <t>https://docs.google.com/document/d/1LJdD_q83rygbHy3uyIEWtVkPzEt_HDsczMt4-_66z4M/edit?usp=drivesdk</t>
  </si>
  <si>
    <t>B5-  SEMANA ESTADUAL ADOÇÃO</t>
  </si>
  <si>
    <t>BOLETIM_RADIO_TJRN_13_05_2026_B5_SEMANA_ESTADUAL_ADOCAO</t>
  </si>
  <si>
    <t>https://docs.google.com/document/d/18F0wP9ThLPgW1CdtLaJ2w_ufAg1Ss6IFlEXLtVfD3L8/edit?usp=drivesdk</t>
  </si>
  <si>
    <t>B4-  ISENÇÃO IPVA DEFICIÊNCIA VISUAL</t>
  </si>
  <si>
    <t>BOLETIM_RADIO_TJRN_13_05_2026_B4_ISENCAO_IPVA_DEFICIENCIA_VISUAL</t>
  </si>
  <si>
    <t>https://docs.google.com/document/d/1Z5sKGWqAqtLEcmwF1eoR59P--wpQNn2d36OFPW2Xr4s/edit?usp=drivesdk</t>
  </si>
  <si>
    <t>B3-  EMPRESA TRANSPORTE CONDENADA QUEDA IDOSA</t>
  </si>
  <si>
    <t>BOLETIM_RADIO_TJRN_13_05_2026_B3_EMPRESA_TRANSPORTE_CONDENADA_QUEDA_IDOSA</t>
  </si>
  <si>
    <t>https://docs.google.com/document/d/1PZkzcGake89L0HlUXqKwOjEk2h0JCCHkTHBNHilVH0I/edit?usp=drivesdk</t>
  </si>
  <si>
    <t>B2-  FATURAMENTO CONTA ENERGIA</t>
  </si>
  <si>
    <t>BOLETIM_RADIO_TJRN_13_05_2026_B2_FATURAMENTO_CONTA_ENERGIA</t>
  </si>
  <si>
    <t>https://docs.google.com/document/d/1UMH-qsxZA19XI1S5Blyq2yUcx-9QowAbbavSNRmhFws/edit?usp=drivesdk</t>
  </si>
  <si>
    <t>B1-  INDENIZAÇÃO DÉBITO IPTU</t>
  </si>
  <si>
    <t>BOLETIM_RADIO_TJRN_13_05_2026_B1_INDENIZACAO_DEBITO_IPTU</t>
  </si>
  <si>
    <t>https://docs.google.com/document/d/1BX3l-C2SbbE13FTkW5F4868G7xvBtFPY1FtySfzILh0/edit?usp=drivesdk</t>
  </si>
  <si>
    <t xml:space="preserve">B10-  TJRN RESULTADO PRELIMINAR ENAM </t>
  </si>
  <si>
    <t>BOLETIM_RADIO_TJRN_12_05_2026_B10_TJRN_RESULTADO_PRELIMINAR_ENAM_</t>
  </si>
  <si>
    <t>https://docs.google.com/document/d/128l7JZV5mK1IGrhui6GNIEAPXPuWITnmdn85pw9GX7U/edit?usp=drivesdk</t>
  </si>
  <si>
    <t>B9- TJRN PLANO SAÚDE CONDENADO</t>
  </si>
  <si>
    <t>BOLETIM_RADIO_TJRN_12_05_2026_B9_TJRN_PLANO_SAUDE_CONDENADO</t>
  </si>
  <si>
    <t>https://docs.google.com/document/d/1MICIEQhTU9gmp8qqq9YeFk44fbR-z-pvfSaC24_G0eI/edit?usp=drivesdk</t>
  </si>
  <si>
    <t>B8- TJRN DETERMINA INDISPONIBILIDADE LOTES</t>
  </si>
  <si>
    <t>BOLETIM_RADIO_TJRN_12_05_2026_B8_TJRN_DETERMINA_INDISPONIBILIDADE_LOTES</t>
  </si>
  <si>
    <t>https://docs.google.com/document/d/1o01b80xIQUE-_z_hB0S7eRQsepIkBDsQ6FiIEiZik3E/edit?usp=drivesdk</t>
  </si>
  <si>
    <t xml:space="preserve">B7- TJRN PARELHAS INDENIZAÇÃO PACIENTE </t>
  </si>
  <si>
    <t>BOLETIM_RADIO_TJRN_12_05_2026_B7_TJRN_PARELHAS_INDENIZACAO_PACIENTE_</t>
  </si>
  <si>
    <t>https://docs.google.com/document/d/1R1iFQKod4DEeDg5Ao6Gae7hbyY5WANbzm4QzYC19dFQ/edit?usp=drivesdk</t>
  </si>
  <si>
    <t>B6- TJRN SERVIDOR SOFRE ASSÉDIO</t>
  </si>
  <si>
    <t>BOLETIM_RADIO_TJRN_12_05_2026_B6_TJRN_SERVIDOR_SOFRE_ASSEDIO</t>
  </si>
  <si>
    <t>https://docs.google.com/document/d/1nZTO6Rf8__BVV7FeDN7wMq6uxf3KDLlD7NIWhc5wj-o/edit?usp=drivesdk</t>
  </si>
  <si>
    <t>B5 - TJRN FALHA SERVIÇO RASTREAMENTO</t>
  </si>
  <si>
    <t>BOLETIM_RADIO_TJRN_12_05_2026_B5_TJRN_FALHA_SERVICO_RASTREAMENTO</t>
  </si>
  <si>
    <t>https://docs.google.com/document/d/1kRRV9UKDYga6XgMLrC1wDOpWrOfq0UGPCRG59mjQX0I/edit?usp=drivesdk</t>
  </si>
  <si>
    <t xml:space="preserve">B4- TJRN VARA EXECUÇÃO FISCAL RESULTADO ESTÁGIO </t>
  </si>
  <si>
    <t>BOLETIM_RADIO_TJRN_12_05_2026_B4_TJRN_VARA_EXECUCAO_FISCAL_RESULTADO_ESTAGIO_</t>
  </si>
  <si>
    <t>https://docs.google.com/document/d/17Vg6Dv_Vk5DkS0qdgrAwWTWm16JKBxP3k1BwsxjW0uw/edit?usp=drivesdk</t>
  </si>
  <si>
    <t>B3- TJRN PLATAFORMA COLABORATIVA PROMPTS</t>
  </si>
  <si>
    <t>BOLETIM_RADIO_TJRN_12_05_2026_B3_TJRN_PLATAFORMA_COLABORATIVA_PROMPTS</t>
  </si>
  <si>
    <t>https://docs.google.com/document/d/1uk7uA_kxKoIaRONzGNE1WH1FAgItwBHeArvsYhYgUjk/edit?usp=drivesdk</t>
  </si>
  <si>
    <t xml:space="preserve">B2- TJRN EMPRESA RESTABELECE ÁGUA </t>
  </si>
  <si>
    <t>BOLETIM_RADIO_TJRN_12_05_2026_B2_TJRN_EMPRESA_RESTABELECE_AGUA_</t>
  </si>
  <si>
    <t>https://docs.google.com/document/d/1yjgNv0L3xOXIyiIxZj5Hwqyrw8dGIgpbB9JB2xsVytk/edit?usp=drivesdk</t>
  </si>
  <si>
    <t>B1- TJRN NÚCLEO APOIO ESTÁGIO</t>
  </si>
  <si>
    <t>BOLETIM_RADIO_TJRN_12_05_2026_B1_TJRN_NUCLEO_APOIO_ESTAGIO</t>
  </si>
  <si>
    <t>https://docs.google.com/document/d/1VBSDRcyxWGnV6qhDPavhBfL3ov4x1PkQuQ3btAfPna8/edit?usp=drivesdk</t>
  </si>
  <si>
    <t xml:space="preserve">B10- MPRN RECOMENDA CONTRATAÇÃO AMBULATÓRIO </t>
  </si>
  <si>
    <t>BOLETIM_RADIO_TJRN_11_05_2026_B10_MPRN_RECOMENDA_CONTRATACAO_AMBULATORIO_</t>
  </si>
  <si>
    <t>https://docs.google.com/document/d/161xLaKtAccpk60sbEv66mmdM4SavebC1q6FyXiRRLgA/edit?usp=drivesdk</t>
  </si>
  <si>
    <t xml:space="preserve">B9- OAB/RN EXCLUSÃO ADVOGADA </t>
  </si>
  <si>
    <t>BOLETIM_RADIO_TJRN_11_05_2026_B9_OABRN_EXCLUSAO_ADVOGADA_</t>
  </si>
  <si>
    <t>https://docs.google.com/document/d/1KNJl36j78-O_1ZkE77NXcfEzdAyWjxCxoQQT9xSES1s/edit?usp=drivesdk</t>
  </si>
  <si>
    <t xml:space="preserve">B8- TJRN CONDENA EMPRESA ÔNIBUS </t>
  </si>
  <si>
    <t>BOLETIM_RADIO_TJRN_11_05_2026_B8_TJRN_CONDENA_EMPRESA_ONIBUS_</t>
  </si>
  <si>
    <t>https://docs.google.com/document/d/1d1IErjnzH7tYuK7klfhMTHOlGBCzc23qeMqP7Y226ho/edit?usp=drivesdk</t>
  </si>
  <si>
    <t>B7- TJRN CANGUARETAMA ESTÁGIO PÓS</t>
  </si>
  <si>
    <t>BOLETIM_RADIO_TJRN_11_05_2026_B7_TJRN_CANGUARETAMA_ESTAGIO_POS</t>
  </si>
  <si>
    <t>https://docs.google.com/document/d/193AlsQqCILj_m7_fXl5Jqgsdu5MJgrtnlsQOK9OTJ88/edit?usp=drivesdk</t>
  </si>
  <si>
    <t xml:space="preserve">B6- TJRN COSERN INDENIZADA </t>
  </si>
  <si>
    <t>BOLETIM_RADIO_TJRN_11_05_2026_B6_TJRN_COSERN_INDENIZADA_</t>
  </si>
  <si>
    <t>https://docs.google.com/document/d/1c9h6V_tQacfr4ZM-TWLCxC1seLWPYSPYunwYKAzuZco/edit?usp=drivesdk</t>
  </si>
  <si>
    <t xml:space="preserve">B5- TJRN AREIA BRANCA SELEÇÃO PROJETOS </t>
  </si>
  <si>
    <t>BOLETIM_RADIO_TJRN_11_05_2026_B5_TJRN_AREIA_BRANCA_SELECAO_PROJETOS_</t>
  </si>
  <si>
    <t>https://docs.google.com/document/d/1Q_yl39hUQdU54Pnev0ZpoQavgfg5RAweAYL8sHrtEmY/edit?usp=drivesdk</t>
  </si>
  <si>
    <t>B4- TJRN RECONHECE FRAUDE TRANSAÇÕES DIGITAIS</t>
  </si>
  <si>
    <t>BOLETIM_RADIO_TJRN_11_05_2026_B4_TJRN_RECONHECE_FRAUDE_TRANSACOES_DIGITAIS</t>
  </si>
  <si>
    <t>https://docs.google.com/document/d/1DfJLGBgFnBiW7nCI0XaoNcuq-vldxgwJz45Nt-rmFkU/edit?usp=drivesdk</t>
  </si>
  <si>
    <t>B3- TJRN CEARÁ-MIRIM ESTÁGIO</t>
  </si>
  <si>
    <t>BOLETIM_RADIO_TJRN_11_05_2026_B3_TJRN_CEARA_MIRIM_ESTAGIO</t>
  </si>
  <si>
    <t>https://docs.google.com/document/d/1XSU-XcumgWhRI1Ptv58HlwznzBoAq8qFy8ObX33Xz5Y/edit?usp=drivesdk</t>
  </si>
  <si>
    <t xml:space="preserve">B2- TJRN FORTALECE PRESERVAÇÃO JUSTIÇA </t>
  </si>
  <si>
    <t>BOLETIM_RADIO_TJRN_11_05_2026_B2_TJRN_FORTALECE_PRESERVACAO_JUSTICA_</t>
  </si>
  <si>
    <t>https://docs.google.com/document/d/1xBgjTQ6JQqLnswzWdqpAwZ9zZ1qleeIXR3JJyYXfSHg/edit?usp=drivesdk</t>
  </si>
  <si>
    <t xml:space="preserve">B1- TRE-RN ATENDIMENTOS AGENDADOS </t>
  </si>
  <si>
    <t>BOLETIM_RADIO_TJRN_11_05_2026_B1_TRE_RN_ATENDIMENTOS_AGENDADOS_</t>
  </si>
  <si>
    <t>https://docs.google.com/document/d/1hW6bluEXq5_2zvXcVntWYiK8HyYx3QPBbPki_6F7QLc/edit?usp=drivesdk</t>
  </si>
  <si>
    <t>B10- TRT/RN REGISTRO POSTO SAÚDE</t>
  </si>
  <si>
    <t>BOLETIM_RADIO_TJRN_08_05_2026_B10_TRTRN_REGISTRO_POSTO_SAUDE</t>
  </si>
  <si>
    <t>https://docs.google.com/document/d/1CIDGfEI17YfcbJ87w_A20jV77rGisOSflxOmC5wn2A0/edit?usp=drivesdk</t>
  </si>
  <si>
    <t xml:space="preserve">B9- TJRN CURSO INÉDITO GESTÃO RISCOS </t>
  </si>
  <si>
    <t>BOLETIM_RADIO_TJRN_08_05_2026_B9_TJRN_CURSO_INEDITO_GESTAO_RISCOS_</t>
  </si>
  <si>
    <t>https://docs.google.com/document/d/1uwhPxuFzH1Amvj4wnkUwFHPOzD3BUaxVrNLv1-_EkVA/edit?usp=drivesdk</t>
  </si>
  <si>
    <t xml:space="preserve">B8- TJRN LANÇA NOVO SISTEMA </t>
  </si>
  <si>
    <t>BOLETIM_RADIO_TJRN_08_05_2026_B8_TJRN_LANCA_NOVO_SISTEMA_</t>
  </si>
  <si>
    <t>https://docs.google.com/document/d/17B8c8R6Uc_hwFt9Zmiy2tYdySJVPoGwd4ZffGAOR5QE/edit?usp=drivesdk</t>
  </si>
  <si>
    <t>B7- COBRANÇA IPTU TAXA LIMPEZA</t>
  </si>
  <si>
    <t>BOLETIM_RADIO_TJRN_08_05_2026_B7_COBRANCA_IPTU_TAXA_LIMPEZA</t>
  </si>
  <si>
    <t>https://docs.google.com/document/d/1tSxckeYTnEDN9G86RC7m1pcKwKjVyie6OymuFwHchc8/edit?usp=drivesdk</t>
  </si>
  <si>
    <t>B6- VIOLÊNCIA DOMÉSTICA MANTIDA PRISÃO</t>
  </si>
  <si>
    <t>BOLETIM_RADIO_TJRN_08_05_2026_B6_VIOLENCIA_DOMESTICA_MANTIDA_PRISAO</t>
  </si>
  <si>
    <t>https://docs.google.com/document/d/1_2FarTcW-r9yDFDE-dXiX9g2dA_UAgJjqg3IgxURU8I/edit?usp=drivesdk</t>
  </si>
  <si>
    <t>B5- FISCALIZAÇÃO CONDOMÍNIO</t>
  </si>
  <si>
    <t>BOLETIM_RADIO_TJRN_08_05_2026_B5_FISCALIZACAO_CONDOMINIO</t>
  </si>
  <si>
    <t>https://docs.google.com/document/d/1NwUuGzvpE_p9dGMR3Q-NLxBGJ-3itDdHe9XfdTbsHS0/edit?usp=drivesdk</t>
  </si>
  <si>
    <t>B4- CONDENAÇÃO DEMORA EXAME URGENTE</t>
  </si>
  <si>
    <t>BOLETIM_RADIO_TJRN_08_05_2026_B4_CONDENACAO_DEMORA_EXAME_URGENTE</t>
  </si>
  <si>
    <t>https://docs.google.com/document/d/1zHwAASBTwfA6FIom3UUM4m2Mv9FbKySgzFzafJDlK0o/edit?usp=drivesdk</t>
  </si>
  <si>
    <t>B3- COBRANÇA INDEVIDA EMPLACAMENTO</t>
  </si>
  <si>
    <t>BOLETIM_RADIO_TJRN_08_05_2026_B3_COBRANCA_INDEVIDA_EMPLACAMENTO</t>
  </si>
  <si>
    <t>https://docs.google.com/document/d/1dcdTiE3yFYaO7tXp3Jdw4I0b9HM7pspd89bPZH1SREc/edit?usp=drivesdk</t>
  </si>
  <si>
    <t>B2- USO INDEVIDO JAZIGO</t>
  </si>
  <si>
    <t>BOLETIM_RADIO_TJRN_08_05_2026_B2_USO_INDEVIDO_JAZIGO</t>
  </si>
  <si>
    <t>https://docs.google.com/document/d/18szfyDK9X-y91OpjivgI2f54C_bfHgQ-GEX1kfBGqZ4/edit?usp=drivesdk</t>
  </si>
  <si>
    <t>B1- INDENIZAÇÃO TAXAS INDEVIDAS</t>
  </si>
  <si>
    <t>BOLETIM_RADIO_TJRN_08_05_2026_B1_INDENIZACAO_TAXAS_INDEVIDAS</t>
  </si>
  <si>
    <t>https://docs.google.com/document/d/196xtcsOAVV_Sjr8gEZMYd1vNAz31OpQ5y9nZnsjF2rg/edit?usp=drivesdk</t>
  </si>
  <si>
    <t xml:space="preserve">B10- MPRN AÇÕES CONTROLE ANIMAIS </t>
  </si>
  <si>
    <t>BOLETIM_RADIO_TJRN_07_05_2026_B10_MPRN_ACOES_CONTROLE_ANIMAIS_</t>
  </si>
  <si>
    <t>https://docs.google.com/document/d/1wIjjwbr2JVi0_ZWI16JxzCI_73CRPcqBkn_Zq-2UbOw/edit?usp=drivesdk</t>
  </si>
  <si>
    <t xml:space="preserve">B9- MPRN RECOMENDAÇÃO CORREÇÃO PRISIONAL FEMININO </t>
  </si>
  <si>
    <t>BOLETIM_RADIO_TJRN_07_05_2026_B9_MPRN_RECOMENDACAO_CORRECAO_PRISIONAL_FEMININO_</t>
  </si>
  <si>
    <t>https://docs.google.com/document/d/1IA8ilHDfErVmXGlzMrYO5oEn1XXWx1cKt6tCn6QaUQk/edit?usp=drivesdk</t>
  </si>
  <si>
    <t>B8- ASSÉDIO AMBIENTE TRABALHO</t>
  </si>
  <si>
    <t>BOLETIM_RADIO_TJRN_07_05_2026_B8_ASSEDIO_AMBIENTE_TRABALHO</t>
  </si>
  <si>
    <t>https://docs.google.com/document/d/1g55zch0bRHCw8LsRzm7PFUhGyBRy6kCCwQsFxFe006E/edit?usp=drivesdk</t>
  </si>
  <si>
    <t>B7- EBOOK SOCIOEDUCAÇÃO</t>
  </si>
  <si>
    <t>BOLETIM_RADIO_TJRN_07_05_2026_B7_EBOOK_SOCIOEDUCACAO</t>
  </si>
  <si>
    <t>https://docs.google.com/document/d/1HiqNf0sIdOVWdPfnllaalb42MFSf3DoduJ9eWHfYADs/edit?usp=drivesdk</t>
  </si>
  <si>
    <t>B6- IRREGULARIDADES MATADOURO</t>
  </si>
  <si>
    <t>BOLETIM_RADIO_TJRN_07_05_2026_B6_IRREGULARIDADES_MATADOURO</t>
  </si>
  <si>
    <t>https://docs.google.com/document/d/1f7rcep2PwS0NcNVJxUHsLZ_7L48AhJN-PfRuyiPUjBc/edit?usp=drivesdk</t>
  </si>
  <si>
    <t>B5- CONDENAÇÃO TRÁFICO E ARMAS</t>
  </si>
  <si>
    <t>BOLETIM_RADIO_TJRN_07_05_2026_B5_CONDENACAO_TRAFICO_E_ARMAS</t>
  </si>
  <si>
    <t>https://docs.google.com/document/d/1X5G7d_keq_t6SpNJlGwOx_p3t65L9AdSbSbvq9LscaM/edit?usp=drivesdk</t>
  </si>
  <si>
    <t>B4- INDENIZAÇÃO DEFEITO CELULAR</t>
  </si>
  <si>
    <t>BOLETIM_RADIO_TJRN_07_05_2026_B4_INDENIZACAO_DEFEITO_CELULAR</t>
  </si>
  <si>
    <t>https://docs.google.com/document/d/14YPY-vQuCrIT8P-Rwd2qpVfVXQNlso7R24JdNjX2keg/edit?usp=drivesdk</t>
  </si>
  <si>
    <t>B3- ENFERMIDADE ADVOGADO</t>
  </si>
  <si>
    <t>BOLETIM_RADIO_TJRN_07_05_2026_B3_ENFERMIDADE_ADVOGADO</t>
  </si>
  <si>
    <t>https://docs.google.com/document/d/1OVD_4MkANY24z5UAUAMWlRKl1zK18c59J6l56oLh4Dg/edit?usp=drivesdk</t>
  </si>
  <si>
    <t>B2- JURI ACUSADO DISPARO BRIGAS</t>
  </si>
  <si>
    <t>BOLETIM_RADIO_TJRN_07_05_2026_B2_JURI_ACUSADO_DISPARO_BRIGAS</t>
  </si>
  <si>
    <t>https://docs.google.com/document/d/19C_--ZwML7vIRdK1Ey8nZd0D6n0cwrQQPNI-aHBg76k/edit?usp=drivesdk</t>
  </si>
  <si>
    <t>B1-INDENIZAÇÃO PROFESSORA REMUNERAÇÃO</t>
  </si>
  <si>
    <t>BOLETIM_RADIO_TJRN_07_05_2026_B1_INDENIZACAO_PROFESSORA_REMUNERACAO</t>
  </si>
  <si>
    <t>https://docs.google.com/document/d/1_7HXdE_6wwijRrmw01q-qdRbnqGwkBrcDmUqGNqU3Ck/edit?usp=drivesdk</t>
  </si>
  <si>
    <t xml:space="preserve">B10- DPERN IDOSA DEFICIÊNCIA VISUAL </t>
  </si>
  <si>
    <t>BOLETIM_RADIO_TJRN_06_05_2026_B10_DPERN_IDOSA_DEFICIENCIA_VISUAL_</t>
  </si>
  <si>
    <t>https://docs.google.com/document/d/1oLWChynKEFePOK5IYzsCUgku8oyYj17ATbZUGGsaOW4/edit?usp=drivesdk</t>
  </si>
  <si>
    <t>B9- MPRN RECOMENDA RECONSTRUÇÃO RUAS</t>
  </si>
  <si>
    <t>BOLETIM_RADIO_TJRN_06_05_2026_B9_MPRN_RECOMENDA_RECONSTRUCAO_RUAS</t>
  </si>
  <si>
    <t>https://docs.google.com/document/d/1zXXWfQomYGVYA14sFaOWNmV4sGX9-K-Cqs9Ligi7DvU/edit?usp=drivesdk</t>
  </si>
  <si>
    <t>B8- PROCURADORIA MULHER PARNAMIRIM</t>
  </si>
  <si>
    <t>BOLETIM_RADIO_TJRN_06_05_2026_B8_PROCURADORIA_MULHER_PARNAMIRIM</t>
  </si>
  <si>
    <t>https://docs.google.com/document/d/1Hc0CQUgpfL9fr_kuSPymzlQ6LnqvVnRVGYy9JReDfqo/edit?usp=drivesdk</t>
  </si>
  <si>
    <t>B7- TABELIÃO ALMINO AFONSO</t>
  </si>
  <si>
    <t>BOLETIM_RADIO_TJRN_06_05_2026_B7_TABELIAO_ALMINO_AFONSO</t>
  </si>
  <si>
    <t>https://docs.google.com/document/d/1P7OUWudErcQeig5Sbm9NMxJ8JfC4dIQoeXaQX1j4gGo/edit?usp=drivesdk</t>
  </si>
  <si>
    <t>B6- ENCONTRO NACIONAL SERIDÓ</t>
  </si>
  <si>
    <t>BOLETIM_RADIO_TJRN_06_05_2026_B6_ENCONTRO_NACIONAL_SERIDO</t>
  </si>
  <si>
    <t>https://docs.google.com/document/d/1Gw11XTu1Tb_K9IJJc-vjrZioD7l_SSVEUe5G6ddg1No/edit?usp=drivesdk</t>
  </si>
  <si>
    <t>B5- TEMPO MÍNIMO CARTEIRA ESTUDANTES</t>
  </si>
  <si>
    <t>BOLETIM_RADIO_TJRN_06_05_2026_B5_TEMPO_MINIMO_CARTEIRA_ESTUDANTES</t>
  </si>
  <si>
    <t>https://docs.google.com/document/d/1Unlbc3g9fg6gwVIyuEkiajSkp6oKOws2mppxZa56-Hg/edit?usp=drivesdk</t>
  </si>
  <si>
    <t>B4- CONDENAÇÃO REDE SOCIAL DESATIVADA</t>
  </si>
  <si>
    <t>BOLETIM_RADIO_TJRN_06_05_2026_B4_CONDENACAO_REDE_SOCIAL_DESATIVADA</t>
  </si>
  <si>
    <t>https://docs.google.com/document/d/181XhppW2L-Gj__C2nRkeXcpN8-98ojqplKbl8TwqgYc/edit?usp=drivesdk</t>
  </si>
  <si>
    <t>B3- PENA REDEFINIDA TRÁFICO</t>
  </si>
  <si>
    <t>BOLETIM_RADIO_TJRN_06_05_2026_B3_PENA_REDEFINIDA_TRAFICO</t>
  </si>
  <si>
    <t>https://docs.google.com/document/d/1uHWuAlH_D0XFcP5NXF1ZH5VVjMTCRWeoClVwCuMfGGA/edit?usp=drivesdk</t>
  </si>
  <si>
    <t>B2- AGRESSÃO SEGURANÇA DUPLA SERTANEJA</t>
  </si>
  <si>
    <t>BOLETIM_RADIO_TJRN_06_05_2026_B2_AGRESSAO_SEGURANCA_DUPLA_SERTANEJA</t>
  </si>
  <si>
    <t>https://docs.google.com/document/d/14RWoovtM4muTrvJOn7hXqltn7kRXOLGmTNVplmmoRt4/edit?usp=drivesdk</t>
  </si>
  <si>
    <t>B1- RESTRIÇÃO MATERIAL CIRÚRGICO</t>
  </si>
  <si>
    <t>BOLETIM_RADIO_TJRN_06_05_2026_B1_RESTRICAO_MATERIAL_CIRURGICO</t>
  </si>
  <si>
    <t>https://docs.google.com/document/d/1y97wa2Q7ZAhUcbOE8zDCH7H_f1yIO7ztnTqYBmR7PqM/edit?usp=drivesdk</t>
  </si>
  <si>
    <t>B10- VISITA UNIVERSITÁRIOS TJRN</t>
  </si>
  <si>
    <t>BOLETIM_RADIO_TJRN_05_05_2026_B10_VISITA_UNIVERSITARIOS_TJRN</t>
  </si>
  <si>
    <t>https://docs.google.com/document/d/1LgD9oasIPcLlOVzst33KVSlrDyoF2X1rHw6Tf7sZgE0/edit?usp=drivesdk</t>
  </si>
  <si>
    <t>B9- BATE-PAPO RACISMO ASSÚ</t>
  </si>
  <si>
    <t>BOLETIM_RADIO_TJRN_05_05_2026_B9_BATE_PAPO_RACISMO_ASSU</t>
  </si>
  <si>
    <t>https://docs.google.com/document/d/1TuYmEHs4x7m1-gcdpYb66xx8vRcdMGV6-x5HMXBMYTk/edit?usp=drivesdk</t>
  </si>
  <si>
    <t>B8- MÊS INFÂNCIA PROTEGIDA</t>
  </si>
  <si>
    <t>BOLETIM_RADIO_TJRN_05_05_2026_B8_MES_INFANCIA_PROTEGIDA</t>
  </si>
  <si>
    <t>https://docs.google.com/document/d/1SnFnCXRD_rrBup7w3mu3FEPnf_EBvOZ9fO-_bTWHFTw/edit?usp=drivesdk</t>
  </si>
  <si>
    <t>B7- LITIGÂNCIA MÁ FÉ</t>
  </si>
  <si>
    <t>BOLETIM_RADIO_TJRN_05_05_2026_B7_LITIGANCIA_MA_FE</t>
  </si>
  <si>
    <t>https://docs.google.com/document/d/1QCN-7MyxP2IZnDnEN5_Lg2jYwcJHc0gsw1xnJdpnep8/edit?usp=drivesdk</t>
  </si>
  <si>
    <t>B6- DADOS PORTAL TRANSPARÊNCIA</t>
  </si>
  <si>
    <t>BOLETIM_RADIO_TJRN_05_05_2026_B6_DADOS_PORTAL_TRANSPARENCIA</t>
  </si>
  <si>
    <t>https://docs.google.com/document/d/1A5uTcSKN2npP_WbcQVL0Hwc0RvqGUCM0i74uvfyAvcM/edit?usp=drivesdk</t>
  </si>
  <si>
    <t>B5- CONDENAÇÃO NEGATIVAÇÃO INDEVIDA</t>
  </si>
  <si>
    <t>BOLETIM_RADIO_TJRN_05_05_2026_B5_CONDENACAO_NEGATIVACAO_INDEVIDA</t>
  </si>
  <si>
    <t>https://docs.google.com/document/d/13ONQrZs96Dr-g6gPSSv3wqlRNONMX3hlxNUXp88qpFI/edit?usp=drivesdk</t>
  </si>
  <si>
    <t>B4- CONDENAÇÃO ENTREGA ERRADA</t>
  </si>
  <si>
    <t>BOLETIM_RADIO_TJRN_05_05_2026_B4_CONDENACAO_ENTREGA_ERRADA</t>
  </si>
  <si>
    <t>https://docs.google.com/document/d/1IPFksX5KwPf4cBAsU2Xb5KvTY3HI1xIdRRXIOkyZrw4/edit?usp=drivesdk</t>
  </si>
  <si>
    <t>B3- INDENIZAÇÃO ALAGAMENTO CHUVAS</t>
  </si>
  <si>
    <t>BOLETIM_RADIO_TJRN_05_05_2026_B3_INDENIZACAO_ALAGAMENTO_CHUVAS</t>
  </si>
  <si>
    <t>https://docs.google.com/document/d/1b2lX4tRgCfjBFWPRQFqCrfxbxNmEKXf8XSqi3uqDQ2o/edit?usp=drivesdk</t>
  </si>
  <si>
    <t>B2- POLICIAL MILITAR CONDENADO TRIBUNAL JÚRI</t>
  </si>
  <si>
    <t>BOLETIM_RADIO_TJRN_05_05_2026_B2_POLICIAL_MILITAR_CONDENADO_TRIBUNAL_JURI</t>
  </si>
  <si>
    <t>https://docs.google.com/document/d/1bsV8esC457gE01lTXMSu6ussbfOWiSEcYq_eYypaeVM/edit?usp=drivesdk</t>
  </si>
  <si>
    <t>B1- ETAPA HETEROIDENTIFICAÇÃO ENAM</t>
  </si>
  <si>
    <t>BOLETIM_RADIO_TJRN_05_05_2026_B1_ETAPA_HETEROIDENTIFICACAO_ENAM</t>
  </si>
  <si>
    <t>https://docs.google.com/document/d/1_mi6Tvemp7JmsMTa_Lb2IgQy2KhlvWZ7XrQewFiHTNs/edit?usp=drivesdk</t>
  </si>
  <si>
    <t>B10- ESTÁGIO PÓS VICE PRESIDÊNCIA</t>
  </si>
  <si>
    <t>BOLETIM_RADIO_TJRN_04_05_2026_B10_ESTAGIO_POS_VICE_PRESIDENCIA</t>
  </si>
  <si>
    <t>https://docs.google.com/document/d/1hDskWCmikR01wFJ40_Da3k5Y2v7_KHNoZtXwYzMFfc8/edit?usp=drivesdk</t>
  </si>
  <si>
    <t>B9- SEMANA COMBATE ASSÉDIO</t>
  </si>
  <si>
    <t>BOLETIM_RADIO_TJRN_04_05_2026_B9_SEMANA_COMBATE_ASSEDIO</t>
  </si>
  <si>
    <t>https://docs.google.com/document/d/1tb_T9iwty7hfW0MDYZ5zqTebMk1nqEVy2mjFX8ykr7s/edit?usp=drivesdk</t>
  </si>
  <si>
    <t>B8- CONCENTRAÇÃO EXECUÇÃO PENAL RN</t>
  </si>
  <si>
    <t>BOLETIM_RADIO_TJRN_04_05_2026_B8_CONCENTRACAO_EXECUCAO_PENAL_RN</t>
  </si>
  <si>
    <t>https://docs.google.com/document/d/11AyRMyQdnno9eA_uH4YMOUdIOIom_9a4gnqcYjEdXrI/edit?usp=drivesdk</t>
  </si>
  <si>
    <t>B7- IPTU NATAL TAXA SELIC</t>
  </si>
  <si>
    <t>BOLETIM_RADIO_TJRN_04_05_2026_B7_IPTU_NATAL_TAXA_SELIC</t>
  </si>
  <si>
    <t>https://docs.google.com/document/d/1rLpfTPTqEyBUb055hTTOYez5QPhd2cRmQjs5pdnOZjQ/edit?usp=drivesdk</t>
  </si>
  <si>
    <t>B6- MAIO TECNOLÓGICO</t>
  </si>
  <si>
    <t>BOLETIM_RADIO_TJRN_04_05_2026_B6_MAIO_TECNOLOGICO</t>
  </si>
  <si>
    <t>https://docs.google.com/document/d/1qsTPAd05qrnszOIJHBmWSuSNRHi9HnaXqu4EX7WLtaU/edit?usp=drivesdk</t>
  </si>
  <si>
    <t>B5- RESTITUIÇÃO FALHA PRODUTO</t>
  </si>
  <si>
    <t>BOLETIM_RADIO_TJRN_04_05_2026_B5_RESTITUICAO_FALHA_PRODUTO</t>
  </si>
  <si>
    <t>https://docs.google.com/document/d/1vcEoCb2c1bhLSsLGTMeTy2n9wf94FD_CpXHSlzpLT3k/edit?usp=drivesdk</t>
  </si>
  <si>
    <t xml:space="preserve">B4- TJRN CONDUZ MEDIAÇÃO </t>
  </si>
  <si>
    <t>BOLETIM_RADIO_TJRN_04_05_2026_B4_TJRN_CONDUZ_MEDIACAO_</t>
  </si>
  <si>
    <t>https://docs.google.com/document/d/1KHIzkeJDrSTfDiPg6dIhcdA6xaxRuTsIUizjgOvW6EI/edit?usp=drivesdk</t>
  </si>
  <si>
    <t>B3- TJRN INVESTE GOVERNANÇA</t>
  </si>
  <si>
    <t>BOLETIM_RADIO_TJRN_04_05_2026_B3_TJRN_INVESTE_GOVERNANCA</t>
  </si>
  <si>
    <t>https://docs.google.com/document/d/1HEmAkTZzG78OCfsKvaEzS9rdQVionjzT59tYo7VzIs0/edit?usp=drivesdk</t>
  </si>
  <si>
    <t xml:space="preserve">B2- TJRN JÚRI ACUSADO MATAR PERSONAL </t>
  </si>
  <si>
    <t>BOLETIM_RADIO_TJRN_04_05_2026_B2_TJRN_JURI_ACUSADO_MATAR_PERSONAL_</t>
  </si>
  <si>
    <t>https://docs.google.com/document/d/1036FhlikoJyH7aT6vN6TtUsESmqIDdl81ZljDe44IU4/edit?usp=drivesdk</t>
  </si>
  <si>
    <t xml:space="preserve">B1- TJRN VISITA ALUNOS UFRN </t>
  </si>
  <si>
    <t>BOLETIM_RADIO_TJRN_04_05_2026_B1_TJRN_VISITA_ALUNOS_UFRN_</t>
  </si>
  <si>
    <t>https://docs.google.com/document/d/1T6b6vaQtoyYVovtV6XKX1RWpzv8lZn3ARyKMTcCth9I/edit?usp=drivesdk</t>
  </si>
  <si>
    <t>Última sincronização: 08/06/2026 14:17 • Sistema Rádio Web 2026</t>
  </si>
  <si>
    <t xml:space="preserve">B10- TRT/RN REVERTE JUSTA CAUSA </t>
  </si>
  <si>
    <t>BOLETIM_RADIO_TJRN_30_04_2026_B10_TRTRN_REVERTE_JUSTA_CAUSA_</t>
  </si>
  <si>
    <t>https://docs.google.com/document/d/1otCwW6U7WOxjIt1iekX4dTkaIw_wSaHbLb3-PaEfTzY/edit?usp=drivesdk</t>
  </si>
  <si>
    <t>B9- TJRN DESTAQUE PRÊMIO NACIONAL CNJ</t>
  </si>
  <si>
    <t>BOLETIM_RADIO_TJRN_30_04_2026_B9_TJRN_DESTAQUE_PREMIO_NACIONAL_CNJ</t>
  </si>
  <si>
    <t>https://docs.google.com/document/d/1x02S6m0AgSWpFoi-F3aNPzwrJu_ReIGObU6XdgebGNg/edit?usp=drivesdk</t>
  </si>
  <si>
    <t xml:space="preserve">B8- TJRN CASO POLLYANA CONDENA SEIS </t>
  </si>
  <si>
    <t>BOLETIM_RADIO_TJRN_30_04_2026_B8_TJRN_CASO_POLLYANA_CONDENA_SEIS_</t>
  </si>
  <si>
    <t>https://docs.google.com/document/d/15qAHMnzjUAuCOzKv2ayxZqASmwieFveuBTzu_BByMHY/edit?usp=drivesdk</t>
  </si>
  <si>
    <t xml:space="preserve">B7- TJRN MULHER INDENIZADA PERFIL FRAUDULENTO </t>
  </si>
  <si>
    <t>BOLETIM_RADIO_TJRN_30_04_2026_B7_TJRN_MULHER_INDENIZADA_PERFIL_FRAUDULENTO_</t>
  </si>
  <si>
    <t>https://docs.google.com/document/d/1wKajGYYjckLYbeL9liqzffa-Hdzp-_kkAk5EUOqDdFY/edit?usp=drivesdk</t>
  </si>
  <si>
    <t xml:space="preserve">B6- TJRN REATIVAÇÃO PLANO SAÚDE </t>
  </si>
  <si>
    <t>BOLETIM_RADIO_TJRN_30_04_2026_B6_TJRN_REATIVACAO_PLANO_SAUDE_</t>
  </si>
  <si>
    <t>https://docs.google.com/document/d/1xYPcgJxpVFiLI3UxkuQChSPQSJeC7W90GwDuKHUeEUg/edit?usp=drivesdk</t>
  </si>
  <si>
    <t>B5- TJRN PACIENTE ESCLEROSE LATERAL</t>
  </si>
  <si>
    <t>BOLETIM_RADIO_TJRN_30_04_2026_B5_TJRN_PACIENTE_ESCLEROSE_LATERAL</t>
  </si>
  <si>
    <t>https://docs.google.com/document/d/1g8Fq-fHIVtqZ5geF6tjdtCS3HVBhDz7TwHBKXZCg9Qk/edit?usp=drivesdk</t>
  </si>
  <si>
    <t xml:space="preserve">B4- TJRN RECONHECE VICIO ACESSÓRIO </t>
  </si>
  <si>
    <t>BOLETIM_RADIO_TJRN_30_04_2026_B4_TJRN_RECONHECE_VICIO_ACESSORIO_</t>
  </si>
  <si>
    <t>https://docs.google.com/document/d/15PAITlN-1rXGdKppJSSZUFrp9Ht4nBeUYC2qKR2tGKk/edit?usp=drivesdk</t>
  </si>
  <si>
    <t xml:space="preserve">B3- TJRN MANTIDO JÚRI ACUSADOS HOMICÍDIOS </t>
  </si>
  <si>
    <t>BOLETIM_RADIO_TJRN_30_04_2026_B3_TJRN_MANTIDO_JURI_ACUSADOS_HOMICIDIOS_</t>
  </si>
  <si>
    <t>https://docs.google.com/document/d/187j9VC8y49p7Vn7ykan37dRhJXCXMXl_XZVyretJlP4/edit?usp=drivesdk</t>
  </si>
  <si>
    <t xml:space="preserve">B2- TJRN SESSÃO JÚRI POLLYANA </t>
  </si>
  <si>
    <t>BOLETIM_RADIO_TJRN_30_04_2026_B2_TJRN_SESSAO_JURI_POLLYANA_</t>
  </si>
  <si>
    <t>https://docs.google.com/document/d/12O738-w6ZQvSIeia4Z9Bp1Tlgp-ahZ2uigYb8SunEQY/edit?usp=drivesdk</t>
  </si>
  <si>
    <t xml:space="preserve">B1- TJRN CÂMARA VEREADORES VIRGÍLIO MACEDO </t>
  </si>
  <si>
    <t>BOLETIM_RADIO_TJRN_30_04_2026_B1_TJRN_CAMARA_VEREADORES_VIRGILIO_MACEDO_</t>
  </si>
  <si>
    <t>https://docs.google.com/document/d/1jiQLW1FVFFdYXfoukKPdkhUCbn3QpQtlPTZoNcZT1DM/edit?usp=drivesdk</t>
  </si>
  <si>
    <t xml:space="preserve">B10- MPRN OPERAÇÃO TRÁFICO DROGAS </t>
  </si>
  <si>
    <t>BOLETIM_RADIO_TJRN_29_04_2026_B10_MPRN_OPERACAO_TRAFICO_DROGAS_</t>
  </si>
  <si>
    <t>https://docs.google.com/document/d/1OFCqy7k7sB4NyqK5LFS_Ht6MzcQ1BD6BPYSNRCwWLgg/edit?usp=drivesdk</t>
  </si>
  <si>
    <t xml:space="preserve">B9- DPERN RESTABELECIMENTO ÁGUA </t>
  </si>
  <si>
    <t>BOLETIM_RADIO_TJRN_29_04_2026_B9_DPERN_RESTABELECIMENTO_AGUA_</t>
  </si>
  <si>
    <t>https://docs.google.com/document/d/1mIK-t3q-fbqaDO7omqkWG0e0IWhRnpXCEtjPZ-vTV60/edit?usp=drivesdk</t>
  </si>
  <si>
    <t xml:space="preserve">B8- TJRN PROGRAMA JUSTIÇA E ESCOLA </t>
  </si>
  <si>
    <t>BOLETIM_RADIO_TJRN_29_04_2026_B8_TJRN_PROGRAMA_JUSTICA_E_ESCOLA_</t>
  </si>
  <si>
    <t>https://docs.google.com/document/d/1na7mVTSrjcuuAiRmUjBKF3FVGe9ZymwejwWNFtlWHj8/edit?usp=drivesdk</t>
  </si>
  <si>
    <t>B7- SEGUNDA SEMANA PAUTA VERDE</t>
  </si>
  <si>
    <t>BOLETIM_RADIO_TJRN_29_04_2026_B7_SEGUNDA_SEMANA_PAUTA_VERDE</t>
  </si>
  <si>
    <t>https://docs.google.com/document/d/156CiVQphuL62q9RHyyGXMcXGZlA-ZG2k6ESL1MdIAqQ/edit?usp=drivesdk</t>
  </si>
  <si>
    <t>B6- DANOS MORAIS FOGÃO DEFEITUOSO</t>
  </si>
  <si>
    <t>BOLETIM_RADIO_TJRN_29_04_2026_B6_DANOS_MORAIS_FOGAO_DEFEITUOSO</t>
  </si>
  <si>
    <t>https://docs.google.com/document/d/1g6f0Fleo71ubbFct6b93VsKEJPv4MdWjftTZ5Ju4yrE/edit?usp=drivesdk</t>
  </si>
  <si>
    <t>B5- HOMICÍDIO CULPOSO NEGADO RECURSO</t>
  </si>
  <si>
    <t>BOLETIM_RADIO_TJRN_29_04_2026_B5_HOMICIDIO_CULPOSO_NEGADO_RECURSO</t>
  </si>
  <si>
    <t>https://docs.google.com/document/d/1hjYLd-p9qGuA5a1QvvPmotAm_nfTie3INSouSuL3-WU/edit?usp=drivesdk</t>
  </si>
  <si>
    <t>B4- EMPRESA PENDÊNCIAS TRIBUTÁRIAS</t>
  </si>
  <si>
    <t>BOLETIM_RADIO_TJRN_29_04_2026_B4_EMPRESA_PENDENCIAS_TRIBUTARIAS</t>
  </si>
  <si>
    <t>https://docs.google.com/document/d/1uiRAD0qEbPaiU0D8g8m8HJhpNgvsmrEXnswOhgii8qM/edit?usp=drivesdk</t>
  </si>
  <si>
    <t>B3- INDENIZAÇÃO GELADEIRA DEFEITUOSA</t>
  </si>
  <si>
    <t>BOLETIM_RADIO_TJRN_29_04_2026_B3_INDENIZACAO_GELADEIRA_DEFEITUOSA</t>
  </si>
  <si>
    <t>https://docs.google.com/document/d/1suWvq__jrV2lKnZwAqC_-rQjULoHXd23sxgFKH_HMWM/edit?usp=drivesdk</t>
  </si>
  <si>
    <t>B2- CUSTEIO MATERIAIS CIRÚRGICOS</t>
  </si>
  <si>
    <t>BOLETIM_RADIO_TJRN_29_04_2026_B2_CUSTEIO_MATERIAIS_CIRURGICOS</t>
  </si>
  <si>
    <t>https://docs.google.com/document/d/1jsfMK_BxmN9V1wnFMGdBGRQ-Ihy21ZcFgYu850tZ8Fg/edit?usp=drivesdk</t>
  </si>
  <si>
    <t>B1- INSCRIÇÕES PRÊMIO INNOVARE</t>
  </si>
  <si>
    <t>BOLETIM_RADIO_TJRN_29_04_2026_B1_INSCRICOES_PREMIO_INNOVARE</t>
  </si>
  <si>
    <t>https://docs.google.com/document/d/15ZozDS8U8hCXSjxMx76ZMMaFMIYSa4b7jwMWxzfOKeg/edit?usp=drivesdk</t>
  </si>
  <si>
    <t>B10- TJRN COOPERAÇÃO TÉCNICA</t>
  </si>
  <si>
    <t>BOLETIM_RADIO_TJRN_28_04_2026_B10_TJRN_COOPERACAO_TECNICA</t>
  </si>
  <si>
    <t>B9- DPERN DECISÃO INDÍGENAS WARAO</t>
  </si>
  <si>
    <t>BOLETIM_RADIO_TJRN_28_04_2026_B9_DPERN_DECISAO_INDIGENAS_WARAO</t>
  </si>
  <si>
    <t>https://docs.google.com/document/d/139Y1KEkj9_MS9aJwGZ-vzhhJmf-yT_hHaIjP1qrXbDs/edit?usp=drivesdk</t>
  </si>
  <si>
    <t>B8- OAB/RN LOCAIS PROVA ENAM</t>
  </si>
  <si>
    <t>BOLETIM_RADIO_TJRN_28_04_2026_B8_OABRN_LOCAIS_PROVA_ENAM</t>
  </si>
  <si>
    <t>https://docs.google.com/document/d/1khNPWiQvKluJssbGEcN7fIlqxSsmR47iC6KNJomTMpA/edit?usp=drivesdk</t>
  </si>
  <si>
    <t xml:space="preserve">B7- MPRN MANUNTENÇÃO SERVIÇOS SUS </t>
  </si>
  <si>
    <t>BOLETIM_RADIO_TJRN_28_04_2026_B7_MPRN_MANUNTENCAO_SERVICOS_SUS_</t>
  </si>
  <si>
    <t>https://docs.google.com/document/d/16ZTZ_FExKHXTSsw8kIa_hMwIvrPkpwYH6k_oMBzRs1k/edit?usp=drivesdk</t>
  </si>
  <si>
    <t xml:space="preserve">B6- TJRN OPERAÇÃO RECEPTOR </t>
  </si>
  <si>
    <t>BOLETIM_RADIO_TJRN_28_04_2026_B6_TJRN_OPERACAO_RECEPTOR_</t>
  </si>
  <si>
    <t>https://docs.google.com/document/d/1YpRGrmOpL96GFHYt0VLqaSp7X63ronh7NETuOGFDikQ/edit?usp=drivesdk</t>
  </si>
  <si>
    <t xml:space="preserve">B5- TJRN JUSTIÇA POTIGUAR NESGA ISENÇÃO </t>
  </si>
  <si>
    <t>BOLETIM_RADIO_TJRN_28_04_2026_B5_TJRN_JUSTICA_POTIGUAR_NESGA_ISENCAO_</t>
  </si>
  <si>
    <t>https://docs.google.com/document/d/1n9zOTxxC30W9xNesVzGZzlpVyJidreE0kNCXDejFyoI/edit?usp=drivesdk</t>
  </si>
  <si>
    <t xml:space="preserve">B4- TJRN CITAÇÃO CÔNJUGE </t>
  </si>
  <si>
    <t>BOLETIM_RADIO_TJRN_28_04_2026_B4_TJRN_CITACAO_CONJUGE_</t>
  </si>
  <si>
    <t>https://docs.google.com/document/d/1N1J-1-SVBvIm0Oy8aVGVfUQlUB7zjXMjEr4rYmdnjBI/edit?usp=drivesdk</t>
  </si>
  <si>
    <t xml:space="preserve">B3- TJRN EMPRESA VESTUÁRIO INDENIZAÇÃO </t>
  </si>
  <si>
    <t>BOLETIM_RADIO_TJRN_28_04_2026_B3_TJRN_EMPRESA_VESTUARIO_INDENIZACAO_</t>
  </si>
  <si>
    <t>https://docs.google.com/document/d/1iUqeKSmTcQGI7Zu9qsufAURe1W9Ls3o6lJkxZ77zlhE/edit?usp=drivesdk</t>
  </si>
  <si>
    <t xml:space="preserve">B2- TJRN 3 CÂMARA INGRESSOS COOPERADOS </t>
  </si>
  <si>
    <t>BOLETIM_RADIO_TJRN_28_04_2026_B2_TJRN_3_CAMARA_INGRESSOS_COOPERADOS_</t>
  </si>
  <si>
    <t>https://docs.google.com/document/d/1QBJlaYoGxIhtEZvw3Ff2Lpu1cXubsmacNn6H9mXwYso/edit?usp=drivesdk</t>
  </si>
  <si>
    <t xml:space="preserve">B1- TJRN CASO POLLYANA </t>
  </si>
  <si>
    <t>BOLETIM_RADIO_TJRN_28_04_2026_B1_TJRN_CASO_POLLYANA_</t>
  </si>
  <si>
    <t>https://docs.google.com/document/d/1yBmxsjnSJvf_LTJPl9TwnJqv73r24hD1TFn1OprvmVE/edit?usp=drivesdk</t>
  </si>
  <si>
    <t xml:space="preserve">B10- TRT/RN EVENTO PREPARATÓRIO CONCILIAÇÃO </t>
  </si>
  <si>
    <t>BOLETIM_RADIO_TJRN_27_04_2026_B10_TRTRN_EVENTO_PREPARATORIO_CONCILIACAO_</t>
  </si>
  <si>
    <t>https://docs.google.com/document/d/1SH21TLrZMzeILsBKvddFseTEXJ7fXm8hvlB5n7BgYhM/edit?usp=drivesdk</t>
  </si>
  <si>
    <t xml:space="preserve">B9- MPRN BLOQUEIO PARNAMIRIM </t>
  </si>
  <si>
    <t>BOLETIM_RADIO_TJRN_27_04_2026_B9_MPRN_BLOQUEIO_PARNAMIRIM_</t>
  </si>
  <si>
    <t>https://docs.google.com/document/d/121r3kw9togibG8_f-CevjxAOBkgOecEr58vuCn4klq8/edit?usp=drivesdk</t>
  </si>
  <si>
    <t xml:space="preserve">B8- TJRN SESSÃO ORDINÁRIA HÍBRIDA </t>
  </si>
  <si>
    <t>BOLETIM_RADIO_TJRN_27_04_2026_B8_TJRN_SESSAO_ORDINARIA_HIBRIDA_</t>
  </si>
  <si>
    <t>https://docs.google.com/document/d/1WvxfuwYt3AE98Q9XSIBpj9RZ4vnUEGgePTIFWu5ALRk/edit?usp=drivesdk</t>
  </si>
  <si>
    <t>B7- CONVOCAÇÃO HETEROIDENTIFICAÇÃO ENAM</t>
  </si>
  <si>
    <t>BOLETIM_RADIO_TJRN_27_04_2026_B7_CONVOCACAO_HETEROIDENTIFICACAO_ENAM</t>
  </si>
  <si>
    <t>https://docs.google.com/document/d/1T-ZAxzFjchFwSOAkS5KPP1rZLmDy6LyUCrBpjyYUndI/edit?usp=drivesdk</t>
  </si>
  <si>
    <t>B6- ESTÁGIO JARDIM PIRANHAS</t>
  </si>
  <si>
    <t>BOLETIM_RADIO_TJRN_27_04_2026_B6_ESTAGIO_JARDIM_PIRANHAS</t>
  </si>
  <si>
    <t>https://docs.google.com/document/d/1_yJ8R-yfansfmGJkIiZUlMYzGk_reE_H0Vum3ecy-Ac/edit?usp=drivesdk</t>
  </si>
  <si>
    <t>B5- ADICIONAL INSALUBRIDADE TÉCNICO SAMU</t>
  </si>
  <si>
    <t>BOLETIM_RADIO_TJRN_27_04_2026_B5_ADICIONAL_INSALUBRIDADE_TECNICO_SAMU</t>
  </si>
  <si>
    <t>https://docs.google.com/document/d/19_GWMQUrq2cKivMkAxyA_NJGNzEvX04dQU3260i5vf0/edit?usp=drivesdk</t>
  </si>
  <si>
    <t>B4- CORTE LUZ SISTEMA SOLAR</t>
  </si>
  <si>
    <t>BOLETIM_RADIO_TJRN_27_04_2026_B4_CORTE_LUZ_SISTEMA_SOLAR</t>
  </si>
  <si>
    <t>https://docs.google.com/document/d/1zBZKItxpMSHOKqH84KUxQY1dSXiU9NFBF8BBV4K76Co/edit?usp=drivesdk</t>
  </si>
  <si>
    <t>B3- TERAPIAS CRIANÇA TEA</t>
  </si>
  <si>
    <t>BOLETIM_RADIO_TJRN_27_04_2026_B3_TERAPIAS_CRIANCA_TEA</t>
  </si>
  <si>
    <t>https://docs.google.com/document/d/1bDDZq7hcFlMBce-O6flPwqbG9xM6AkOhTUuiH3oKzqQ/edit?usp=drivesdk</t>
  </si>
  <si>
    <t>B2- CONDOMÍNIO LICENÇAS LEGAIS</t>
  </si>
  <si>
    <t>BOLETIM_RADIO_TJRN_27_04_2026_B2_CONDOMINIO_LICENCAS_LEGAIS</t>
  </si>
  <si>
    <t>https://docs.google.com/document/d/1h9hU32fvHWk15_8Ldy4mBssOMzJV7D1YNs6YQoDbQhM/edit?usp=drivesdk</t>
  </si>
  <si>
    <t>B1- PLANO SAÚDE CIRURGIA BARIÁTRICA</t>
  </si>
  <si>
    <t>BOLETIM_RADIO_TJRN_27_04_2026_B1_PLANO_SAUDE_CIRURGIA_BARIATRICA</t>
  </si>
  <si>
    <t>https://docs.google.com/document/d/1oGMcZaa_BpTCvR4_DZiW5QU0y8IawBhGau0x1GmV1Tk/edit?usp=drivesdk</t>
  </si>
  <si>
    <t>B10- PROJETO LAIS SAÚDE</t>
  </si>
  <si>
    <t>BOLETIM_RADIO_TJRN_24_04_2026_B10_PROJETO_LAIS_SAUDE</t>
  </si>
  <si>
    <t>https://docs.google.com/document/d/1y6pR-Te3zqYjEYruW5ekl1WRhxUQn4v2nAOTtd2mx2s/edit?usp=drivesdk</t>
  </si>
  <si>
    <t>B9- CENTRAL ESTADUAL LIBRAS</t>
  </si>
  <si>
    <t>BOLETIM_RADIO_TJRN_24_04_2026_B9_CENTRAL_ESTADUAL_LIBRAS</t>
  </si>
  <si>
    <t>https://docs.google.com/document/d/1XdYRVQhQQel3i65jzNF5VTpPOOwKpa8WVpzYvh_4ApA/edit?usp=drivesdk</t>
  </si>
  <si>
    <t>B8- LIBERAÇÃO 1 MILHÃO HENRIQUE LAJES</t>
  </si>
  <si>
    <t>BOLETIM_RADIO_TJRN_24_04_2026_B8_LIBERACAO_1_MILHAO_HENRIQUE_LAJES</t>
  </si>
  <si>
    <t>https://docs.google.com/document/d/1Qf-9wZX8Ut0DuKClGmnGyml0sZpZmEFYlY-X_PjKPII/edit?usp=drivesdk</t>
  </si>
  <si>
    <t>B7- TRT DIÁLOGO CONCILIAÇÃO</t>
  </si>
  <si>
    <t>BOLETIM_RADIO_TJRN_24_04_2026_B7_TRT_DIALOGO_CONCILIACAO</t>
  </si>
  <si>
    <t>https://docs.google.com/document/d/1CObDB-6SJCB4MJHgAbYDYqJTJu83vXYbeqBaJ6Hu5zY/edit?usp=drivesdk</t>
  </si>
  <si>
    <t>B6- ESTÁGIO DIREITO VARA CÍVEL</t>
  </si>
  <si>
    <t>BOLETIM_RADIO_TJRN_24_04_2026_B6_ESTAGIO_DIREITO_VARA_CIVEL</t>
  </si>
  <si>
    <t>https://docs.google.com/document/d/1-RJn93R1r_vH9iXOUlq612rJHFe0O20mNx1p55q3OMo/edit?usp=drivesdk</t>
  </si>
  <si>
    <t>B5- REGULARIZAÇÃO EMPREENDIMENTO PONTA NEGRA</t>
  </si>
  <si>
    <t>BOLETIM_RADIO_TJRN_24_04_2026_B5_REGULARIZACAO_EMPREENDIMENTO_PONTA_NEGRA</t>
  </si>
  <si>
    <t>https://docs.google.com/document/d/1-7uCqbydrmlr1LMXillv-BJwWrFo-eI3h5PajEvFmqM/edit?usp=drivesdk</t>
  </si>
  <si>
    <t>B4- RETROATIVO GRATIFICAÇÃO DENTISTA</t>
  </si>
  <si>
    <t>BOLETIM_RADIO_TJRN_24_04_2026_B4_RETROATIVO_GRATIFICACAO_DENTISTA</t>
  </si>
  <si>
    <t>https://docs.google.com/document/d/1U3Z30MMA59oUamHG7A9mIJ4ofW5uoxDqeAyraAUMz0o/edit?usp=drivesdk</t>
  </si>
  <si>
    <t>B3- PERDA AUDITIVA MOTORISTA AMBULÂNCIA</t>
  </si>
  <si>
    <t>BOLETIM_RADIO_TJRN_24_04_2026_B3_PERDA_AUDITIVA_MOTORISTA_AMBULANCIA</t>
  </si>
  <si>
    <t>https://docs.google.com/document/d/1SdZYLkUTCXBhbyJ5hwmKWMPx74YcBmhc3nEWHFfPoaM/edit?usp=drivesdk</t>
  </si>
  <si>
    <t>B2- BLOQUEIO INDEVIDO APLICATIVO</t>
  </si>
  <si>
    <t>BOLETIM_RADIO_TJRN_24_04_2026_B2_BLOQUEIO_INDEVIDO_APLICATIVO</t>
  </si>
  <si>
    <t>https://docs.google.com/document/d/1DTMLU1CL-X-WiOXf57UN9mt_ZTosFQclQEvUaJiRC9M/edit?usp=drivesdk</t>
  </si>
  <si>
    <t>B1- ATRASO TRANSPORTE INDENIZAÇÃO</t>
  </si>
  <si>
    <t>BOLETIM_RADIO_TJRN_24_04_2026_B1_ATRASO_TRANSPORTE_INDENIZACAO</t>
  </si>
  <si>
    <t>https://docs.google.com/document/d/1OTxkyuKtbC5sBlvwu5P-oh4qqbatjRei7DlhFzMbX0I/edit?usp=drivesdk</t>
  </si>
  <si>
    <t>B10- TRT-RN LEILÃO 2026</t>
  </si>
  <si>
    <t>BOLETIM_RADIO_TJRN_23_04_2026_B10_TRT_RN_LEILAO_2026</t>
  </si>
  <si>
    <t>https://docs.google.com/document/d/11USsLszdEllW70P1dSC3Y0FJL-E9lna2ZYbpmy6lhck/edit?usp=drivesdk</t>
  </si>
  <si>
    <t xml:space="preserve">B9- TRE-RN APERFEIÇOAMENTO MAGISTRATURA </t>
  </si>
  <si>
    <t>BOLETIM_RADIO_TJRN_23_04_2026_B9_TRE_RN_APERFEICOAMENTO_MAGISTRATURA_</t>
  </si>
  <si>
    <t>https://docs.google.com/document/d/1OorIWOYz8stSZScqMvg4UoYpUMhKQN0P7NOKW5bxqdo/edit?usp=drivesdk</t>
  </si>
  <si>
    <t>B8- MPRN RECOMENDA REGULARIZAÇÃO LIXO</t>
  </si>
  <si>
    <t>BOLETIM_RADIO_TJRN_23_04_2026_B8_MPRN_RECOMENDA_REGULARIZACAO_LIXO</t>
  </si>
  <si>
    <t>https://docs.google.com/document/d/1dMTFcNvb0h5SxxKZWB4hkmcBd81UIseFLSNTqalfnp8/edit?usp=drivesdk</t>
  </si>
  <si>
    <t xml:space="preserve">B7- TCE-RN TREINAMENTO GESTORES TRANSPARÊNCIA </t>
  </si>
  <si>
    <t>BOLETIM_RADIO_TJRN_23_04_2026_B7_TCE_RN_TREINAMENTO_GESTORES_TRANSPARENCIA_</t>
  </si>
  <si>
    <t>https://docs.google.com/document/d/1th5z1U-TFIqFTaBpX3lAutDmA-uyEknX0x2tMreYgrw/edit?usp=drivesdk</t>
  </si>
  <si>
    <t>B6- GRUPO APOIO METAS ESTÁGIO</t>
  </si>
  <si>
    <t>BOLETIM_RADIO_TJRN_23_04_2026_B6_GRUPO_APOIO_METAS_ESTAGIO</t>
  </si>
  <si>
    <t>https://docs.google.com/document/d/14PrxTuzJrWAuJ-2KlZR6Gj_DIegyFHKfu83vPgRLkvI/edit?usp=drivesdk</t>
  </si>
  <si>
    <t>B5- EMPRESA ÔNIBUS CONDENAÇÃO</t>
  </si>
  <si>
    <t>BOLETIM_RADIO_TJRN_23_04_2026_B5_EMPRESA_ONIBUS_CONDENACAO</t>
  </si>
  <si>
    <t>https://docs.google.com/document/d/1tsOtFqouEdkeGM_BOPjSRThpktpkUbRmClEoE654JdY/edit?usp=drivesdk</t>
  </si>
  <si>
    <t>B4- FALHA SEGURANÇA DADOS</t>
  </si>
  <si>
    <t>BOLETIM_RADIO_TJRN_23_04_2026_B4_FALHA_SEGURANCA_DADOS</t>
  </si>
  <si>
    <t>https://docs.google.com/document/d/16zHANaGlVRKdrMSCKy-piYRR453-TUwGV5sPtqAshL4/edit?usp=drivesdk</t>
  </si>
  <si>
    <t>B3- IRREGULARIDADE LEILÃO</t>
  </si>
  <si>
    <t>BOLETIM_RADIO_TJRN_23_04_2026_B3_IRREGULARIDADE_LEILAO</t>
  </si>
  <si>
    <t>https://docs.google.com/document/d/1HomwqxAj3gU3VHjn0cGKz1LDKJ527KFu7Jz_f9quMeQ/edit?usp=drivesdk</t>
  </si>
  <si>
    <t>B2- DANOS MORAIS MESA MADEIRA</t>
  </si>
  <si>
    <t>BOLETIM_RADIO_TJRN_23_04_2026_B2_DANOS_MORAIS_MESA_MADEIRA</t>
  </si>
  <si>
    <t>https://docs.google.com/document/d/1nhizhnpoAIz-qefGK8va69ZYjggkiGz85otHYefMMaI/edit?usp=drivesdk</t>
  </si>
  <si>
    <t>B1- ROUBO MAJORADO CONDENAÇÃO</t>
  </si>
  <si>
    <t>BOLETIM_RADIO_TJRN_23_04_2026_B1_ROUBO_MAJORADO_CONDENACAO</t>
  </si>
  <si>
    <t>https://docs.google.com/document/d/15EoKFWPDDwt6TDJHt2mgOdmJlm1kg87Htr7FSktMHjs/edit?usp=drivesdk</t>
  </si>
  <si>
    <t>B10- MPRN RECOMENDA RETIRADA PLACAS AREZ</t>
  </si>
  <si>
    <t>BOLETIM_RADIO_TJRN_22_04_2026_B10_MPRN_RECOMENDA_RETIRADA_PLACAS_AREZ</t>
  </si>
  <si>
    <t>https://docs.google.com/document/d/1EEbKvHCM9Yymj_2oXHNCMM4pZ1qRrtOHNfwidCvQn_c/edit?usp=drivesdk</t>
  </si>
  <si>
    <t>B9- TRT/RN CONTRATO INTERMITENTE FALHA CTPS</t>
  </si>
  <si>
    <t>BOLETIM_RADIO_TJRN_22_04_2026_B9_TRTRN_CONTRATO_INTERMITENTE_FALHA_CTPS</t>
  </si>
  <si>
    <t>https://docs.google.com/document/d/1-OjDbcEqcDiZGYGhMOtx5GtkOFM0MowXXOdTIAm0kHM/edit?usp=drivesdk</t>
  </si>
  <si>
    <t>B8- ESTÁGIO PÓS JOÂO CÂMARA</t>
  </si>
  <si>
    <t>BOLETIM_RADIO_TJRN_22_04_2026_B8_ESTAGIO_POS_JOAO_CAMARA</t>
  </si>
  <si>
    <t>https://docs.google.com/document/d/1pM5BmF0GpDR86wirPYJ287PAYC1lps7a8t8LH5dP2ec/edit?usp=drivesdk</t>
  </si>
  <si>
    <t>B7- GARANTIA TRATAMENTO PACIENTE</t>
  </si>
  <si>
    <t>BOLETIM_RADIO_TJRN_22_04_2026_B7_GARANTIA_TRATAMENTO_PACIENTE</t>
  </si>
  <si>
    <t>https://docs.google.com/document/d/1Kla9JvS2gAvIkBYAT7Nrc0zpW93bw2S5JpiK2V5XzpM/edit?usp=drivesdk</t>
  </si>
  <si>
    <t>B6- USUCAPIÃO NEGADO</t>
  </si>
  <si>
    <t>BOLETIM_RADIO_TJRN_22_04_2026_B6_USUCAPIAO_NEGADO</t>
  </si>
  <si>
    <t>https://docs.google.com/document/d/1KdVkrPkogIZsg7tMxnNmh30mk1DFD7OUKUZ7eH-fB0E/edit?usp=drivesdk</t>
  </si>
  <si>
    <t>B5- PAGAMENTO ADICIONAL RISCO VIDA</t>
  </si>
  <si>
    <t>BOLETIM_RADIO_TJRN_22_04_2026_B5_PAGAMENTO_ADICIONAL_RISCO_VIDA</t>
  </si>
  <si>
    <t>https://docs.google.com/document/d/1F917horrM2WyXpDuvyHjurQaxpNvIa62FIeQs5iFghM/edit?usp=drivesdk</t>
  </si>
  <si>
    <t>B4- INDENIZAÇÃO ENERGIA</t>
  </si>
  <si>
    <t>BOLETIM_RADIO_TJRN_22_04_2026_B4_INDENIZACAO_ENERGIA</t>
  </si>
  <si>
    <t>https://docs.google.com/document/d/15_F6Hq45nnnkdsJ-xTPm27h_Pab1DcbbaetO1EVktig/edit?usp=drivesdk</t>
  </si>
  <si>
    <t>B3- PENAS PECUNIÁRIAS ACARI</t>
  </si>
  <si>
    <t>BOLETIM_RADIO_TJRN_22_04_2026_B3_PENAS_PECUNIARIAS_ACARI</t>
  </si>
  <si>
    <t>https://docs.google.com/document/d/1DMNY2SXatjHn8FQvnaRwBq2g_63tyeRzrd9SEkAQz3M/edit?usp=drivesdk</t>
  </si>
  <si>
    <t>B2- ENCERRAMENTO REGISTRE-SE</t>
  </si>
  <si>
    <t>BOLETIM_RADIO_TJRN_22_04_2026_B2_ENCERRAMENTO_REGISTRE_SE</t>
  </si>
  <si>
    <t>https://docs.google.com/document/d/10OYTy3q-5QXgGCJc5dm44YbVHWN3kA9OhQ5DADMjZTM/edit?usp=drivesdk</t>
  </si>
  <si>
    <t>B1- FÓRUM NACIONAL MEDIAÇÃO</t>
  </si>
  <si>
    <t>BOLETIM_RADIO_TJRN_22_04_2026_B1_FORUM_NACIONAL_MEDIACAO</t>
  </si>
  <si>
    <t>https://docs.google.com/document/d/1DvNbUMnA1SluKYfSP9RlT_H2Y5xw7X5ylLp4A9OxyUQ/edit?usp=drivesdk</t>
  </si>
  <si>
    <t>B10- ACÚMULO FUNÇÕES POLICIAL CIVIL</t>
  </si>
  <si>
    <t>BOLETIM_RADIO_TJRN_17_04_2026_B10_ACUMULO_FUNCOES_POLICIAL_CIVIL</t>
  </si>
  <si>
    <t>https://docs.google.com/document/d/1n4d8-9YJgMcc_X1cksqwwETLHNW6BWok1IRZz0PwSpM/edit?usp=drivesdk</t>
  </si>
  <si>
    <t>B9- CONDENAÇÃO COSERN INDENIZAÇÃO</t>
  </si>
  <si>
    <t>BOLETIM_RADIO_TJRN_17_04_2026_B9_CONDENACAO_COSERN_INDENIZACAO</t>
  </si>
  <si>
    <t>https://docs.google.com/document/d/1pfHq7JifAvXC-7nHDJZ_0mEE0dln-4Ydt_gMYfQzS0s/edit?usp=drivesdk</t>
  </si>
  <si>
    <t>B8- CONDENAÇÃO PAGAMENTO FUNCARTE</t>
  </si>
  <si>
    <t>BOLETIM_RADIO_TJRN_17_04_2026_B8_CONDENACAO_PAGAMENTO_FUNCARTE</t>
  </si>
  <si>
    <t>https://docs.google.com/document/d/1lePH9zm3EbSustMVWQxpqo56yWP-PFjBZpx9DjI_VMc/edit?usp=drivesdk</t>
  </si>
  <si>
    <t>B7- FUNDO INFÂNCIA GROSSOS</t>
  </si>
  <si>
    <t>BOLETIM_RADIO_TJRN_17_04_2026_B7_FUNDO_INFANCIA_GROSSOS</t>
  </si>
  <si>
    <t>https://docs.google.com/document/d/1t3qZOsrSVOQeumQHKwr3ORnRtJh9VDT3XVL2gyiCv1I/edit?usp=drivesdk</t>
  </si>
  <si>
    <t>B6- MPRN JÚRI CONDENAÇÃO HOMEM MORTE</t>
  </si>
  <si>
    <t>BOLETIM_RADIO_TJRN_17_04_2026_B6_MPRN_JURI_CONDENACAO_HOMEM_MORTE</t>
  </si>
  <si>
    <t>https://docs.google.com/document/d/1nCN_3Xifx8ttnEdr-Diux1OIJPTohsz2xjLSRXq8wRs/edit?usp=drivesdk</t>
  </si>
  <si>
    <t xml:space="preserve">B5- TRT/RN PROJETO ACESSIBILIDADE ATITUDINAL </t>
  </si>
  <si>
    <t>BOLETIM_RADIO_TJRN_17_04_2026_B5_TRTRN_PROJETO_ACESSIBILIDADE_ATITUDINAL_</t>
  </si>
  <si>
    <t>https://docs.google.com/document/d/10WCQ2FnX6x9P3davI13zrlsWpYFLdlgWyfnsa0PvyiY/edit?usp=drivesdk</t>
  </si>
  <si>
    <t xml:space="preserve">B4- TJRN PARTICIPA EXPANSÃO PLATAFORMA </t>
  </si>
  <si>
    <t>BOLETIM_RADIO_TJRN_17_04_2026_B4_TJRN_PARTICIPA_EXPANSAO_PLATAFORMA_</t>
  </si>
  <si>
    <t>https://docs.google.com/document/d/1uq5oh14d-9Gpr9Glpg6JZabMCr9A8zPYcSUxblDZSHA/edit?usp=drivesdk</t>
  </si>
  <si>
    <t xml:space="preserve">B3- TJRN DETERMINA EXCLUSÃO 48 HORAS </t>
  </si>
  <si>
    <t>BOLETIM_RADIO_TJRN_17_04_2026_B3_TJRN_DETERMINA_EXCLUSAO_48_HORAS_</t>
  </si>
  <si>
    <t>https://docs.google.com/document/d/1Vofygd_1etXQBe4twpe62rxfh1ERe4NcBJfQWScFhko/edit?usp=drivesdk</t>
  </si>
  <si>
    <t xml:space="preserve">B2- TJRN RECONHECE COMPETENCIA IELMO MARINHO TAXA </t>
  </si>
  <si>
    <t>BOLETIM_RADIO_TJRN_17_04_2026_B2_TJRN_RECONHECE_COMPETENCIA_IELMO_MARINHO_TAXA_</t>
  </si>
  <si>
    <t>https://docs.google.com/document/d/1F_GtrEIAitR_8ZW30qW-VRN5J9kQGc3Ut7QH8GmpEHI/edit?usp=drivesdk</t>
  </si>
  <si>
    <t>B1- TJRN PACIENTE INDENIZADO FALHA PLANO</t>
  </si>
  <si>
    <t>BOLETIM_RADIO_TJRN_17_04_2026_B1_TJRN_PACIENTE_INDENIZADO_FALHA_PLANO</t>
  </si>
  <si>
    <t>https://docs.google.com/document/d/18nlxXtBV7fdIIc4IIHXVZIbizKgz8VQeSZIunKvZht8/edit?usp=drivesdk</t>
  </si>
  <si>
    <t xml:space="preserve">B10- OAB/RN PADRONIZAÇÃO PROCESSOS </t>
  </si>
  <si>
    <t>BOLETIM_RADIO_TJRN_16_04_2026_B10_OABRN_PADRONIZACAO_PROCESSOS_</t>
  </si>
  <si>
    <t>https://docs.google.com/document/d/1Rll-3afFYrMkZ1JkvdVsYILvpmw44m65fVADZjMXszg/edit?usp=drivesdk</t>
  </si>
  <si>
    <t xml:space="preserve">B9- TJRN AÇÃO INTEGRADA EMISSÃO DOCUMENTOS </t>
  </si>
  <si>
    <t>BOLETIM_RADIO_TJRN_16_04_2026_B9_TJRN_ACAO_INTEGRADA_EMISSAO_DOCUMENTOS_</t>
  </si>
  <si>
    <t>https://docs.google.com/document/d/1MdjHmZzEczF0YmXnmwqYNbaJsMivI7ycGWxqkX3ZJvw/edit?usp=drivesdk</t>
  </si>
  <si>
    <t xml:space="preserve">B8- CMN PACOTE GRATUIDADE TRANSPORTE PÚBLICO </t>
  </si>
  <si>
    <t>BOLETIM_RADIO_TJRN_16_04_2026_B8_CMN_PACOTE_GRATUIDADE_TRANSPORTE_PUBLICO_</t>
  </si>
  <si>
    <t>https://docs.google.com/document/d/1a1J4VvClJsk4dVaP0AU6Dl0GsTSf3Ezxuo9izamxilQ/edit?usp=drivesdk</t>
  </si>
  <si>
    <t xml:space="preserve">B7- MPRN VERBAS PECUNIÁRIAS </t>
  </si>
  <si>
    <t>BOLETIM_RADIO_TJRN_16_04_2026_B7_MPRN_VERBAS_PECUNIARIAS_</t>
  </si>
  <si>
    <t>https://docs.google.com/document/d/1UPNsl-e9I2oZ5HcBSXlBEzmikAqdlNUV3EE0lycwPAQ/edit?usp=drivesdk</t>
  </si>
  <si>
    <t xml:space="preserve">B6- TJRN CONDENA LOJA INDENIZAÇÃO </t>
  </si>
  <si>
    <t>BOLETIM_RADIO_TJRN_16_04_2026_B6_TJRN_CONDENA_LOJA_INDENIZACAO_</t>
  </si>
  <si>
    <t>https://docs.google.com/document/d/16xSZxsZyMvI30LstEk1fyFviQZyQrLN9qMOrFjCD1iI/edit?usp=drivesdk</t>
  </si>
  <si>
    <t xml:space="preserve">B5- TJRN MUNICÍPIO NATAL CONDENADO TRANSBORDAMENTO </t>
  </si>
  <si>
    <t>BOLETIM_RADIO_TJRN_16_04_2026_B5_TJRN_MUNICIPIO_NATAL_CONDENADO_TRANSBORDAMENTO_</t>
  </si>
  <si>
    <t>https://docs.google.com/document/d/12IvIddIDsJ66GeT9mjzz4-sRDH4ngiEN0jq2qqV6Da0/edit?usp=drivesdk</t>
  </si>
  <si>
    <t xml:space="preserve">B4- TJRN CANCELAMENTO PASSAGENS AÉREAS COLÔMBIA </t>
  </si>
  <si>
    <t>BOLETIM_RADIO_TJRN_16_04_2026_B4_TJRN_CANCELAMENTO_PASSAGENS_AEREAS_COLOMBIA_</t>
  </si>
  <si>
    <t>https://docs.google.com/document/d/15buE67Dk0qxIqlwbfm4FUIUMsq_2-iWpig3FnFJyDqI/edit?usp=drivesdk</t>
  </si>
  <si>
    <t xml:space="preserve">B3- TJRN CONDENA MOTORISTA ACIDENTE MOTOCICLISTA </t>
  </si>
  <si>
    <t>BOLETIM_RADIO_TJRN_16_04_2026_B3_TJRN_CONDENA_MOTORISTA_ACIDENTE_MOTOCICLISTA_</t>
  </si>
  <si>
    <t>https://docs.google.com/document/d/1h2cMUuTANE02RTzwFqOqmOWPuK7Mr3_j3Ad-RnBo0Og/edit?usp=drivesdk</t>
  </si>
  <si>
    <t xml:space="preserve">B2- TJRN ACUSADO VÁRIOS DELITOS GOIANINHA </t>
  </si>
  <si>
    <t>BOLETIM_RADIO_TJRN_16_04_2026_B2_TJRN_ACUSADO_VARIOS_DELITOS_GOIANINHA_</t>
  </si>
  <si>
    <t>https://docs.google.com/document/d/1zhx306jTooCIZZhjVrfrpRWuCvVkS5KjSDq6Hw72AF8/edit?usp=drivesdk</t>
  </si>
  <si>
    <t>B1- TJRN PACIENTE INDENIZADO CICATRIZ QUEIXO</t>
  </si>
  <si>
    <t>BOLETIM_RADIO_TJRN_16_04_2026_B1_TJRN_PACIENTE_INDENIZADO_CICATRIZ_QUEIXO</t>
  </si>
  <si>
    <t>https://docs.google.com/document/d/1rLmbSzc600d3grg5CXbs_WeUauVbIfmHc9zxtGZbukk/edit?usp=drivesdk</t>
  </si>
  <si>
    <t xml:space="preserve">B10- TRE-RN CARTILHA PROPAGANDA ELEITORAL </t>
  </si>
  <si>
    <t>BOLETIM_RADIO_TJRN_15_04_2026_B10_TRE_RN_CARTILHA_PROPAGANDA_ELEITORAL_</t>
  </si>
  <si>
    <t>https://docs.google.com/document/d/1Uh3hmHEPlUrpd4K1GDQrK6b262ZKhXz1EviaVpqqht0/edit?usp=drivesdk</t>
  </si>
  <si>
    <t xml:space="preserve">B9- MPRN IMPLEMENTAÇÃO CÂMERAS VIDEOMONITORAMENTO </t>
  </si>
  <si>
    <t>BOLETIM_RADIO_TJRN_15_04_2026_B9_MPRN_IMPLEMENTACAO_CAMERAS_VIDEOMONITORAMENTO_</t>
  </si>
  <si>
    <t>https://docs.google.com/document/d/1kkm0d2p7L6-bIgc2XwoG-Ek-oUcWDrrhFDnq3PWiRVs/edit?usp=drivesdk</t>
  </si>
  <si>
    <t>B8- DPERN INSCRIÇÃO CANDIDATO PM</t>
  </si>
  <si>
    <t>BOLETIM_RADIO_TJRN_15_04_2026_B8_DPERN_INSCRICAO_CANDIDATO_PM</t>
  </si>
  <si>
    <t>https://docs.google.com/document/d/17EZwPyq3AJz0M8ZMj97NLU7Q0yvt43QwciYxiXB6NFo/edit?usp=drivesdk</t>
  </si>
  <si>
    <t>B7- TRT/RN PROGRAMA REGISTRE-SE</t>
  </si>
  <si>
    <t>BOLETIM_RADIO_TJRN_15_04_2026_B7_TRTRN_PROGRAMA_REGISTRE_SE</t>
  </si>
  <si>
    <t>https://docs.google.com/document/d/1nl82QE41vwAz38_qxwuq80w6aT1GWJ2LFiIvi3a6FGc/edit?usp=drivesdk</t>
  </si>
  <si>
    <t xml:space="preserve">B6- TJRN NOMEIA TRÊS CANDIDATOS </t>
  </si>
  <si>
    <t>BOLETIM_RADIO_TJRN_15_04_2026_B6_TJRN_NOMEIA_TRES_CANDIDATOS_</t>
  </si>
  <si>
    <t>https://docs.google.com/document/d/1TowjeAVBJgIS6cfOazoW6mNXx3ulmALmNQkqh08SqGE/edit?usp=drivesdk</t>
  </si>
  <si>
    <t xml:space="preserve">B5- TJRN SELEÇÃO ESTÁGIO PAU FERROS </t>
  </si>
  <si>
    <t>BOLETIM_RADIO_TJRN_15_04_2026_B5_TJRN_SELECAO_ESTAGIO_PAU_FERROS_</t>
  </si>
  <si>
    <t>https://docs.google.com/document/d/10GexmUtYyruR4Uji1sLT-3PulxfJ3nyo0XRMrIT_IxU/edit?usp=drivesdk</t>
  </si>
  <si>
    <t xml:space="preserve">B4- TJRN VARA CIVEL NATAL PREMIO ADVOGADOS </t>
  </si>
  <si>
    <t>BOLETIM_RADIO_TJRN_15_04_2026_B4_TJRN_VARA_CIVEL_NATAL_PREMIO_ADVOGADOS_</t>
  </si>
  <si>
    <t>https://docs.google.com/document/d/1-_ruw9rGpiP5h4_OCs2Dx8n6Yhicw_5I8dmKCorYs9E/edit?usp=drivesdk</t>
  </si>
  <si>
    <t xml:space="preserve">B3- TJRN COLISÃO E FUGA CONDUTOR </t>
  </si>
  <si>
    <t>BOLETIM_RADIO_TJRN_15_04_2026_B3_TJRN_COLISAO_E_FUGA_CONDUTOR_</t>
  </si>
  <si>
    <t>https://docs.google.com/document/d/1tIumvKW6BgzhNB195QopP8r6jk5p_nsXAIVx8BwebZo/edit?usp=drivesdk</t>
  </si>
  <si>
    <t xml:space="preserve">B2- TJRN EMPRESÁRIA INDENIZADA </t>
  </si>
  <si>
    <t>BOLETIM_RADIO_TJRN_15_04_2026_B2_TJRN_EMPRESARIA_INDENIZADA_</t>
  </si>
  <si>
    <t>https://docs.google.com/document/d/1m-nrtssJVreaL3dlTSF7qJ0mB8BW7EA_8YxIAfn-yKg/edit?usp=drivesdk</t>
  </si>
  <si>
    <t xml:space="preserve">B1- TJRN ADVOGADA CONSTRANGIDA </t>
  </si>
  <si>
    <t>BOLETIM_RADIO_TJRN_15_04_2026_B1_TJRN_ADVOGADA_CONSTRANGIDA_</t>
  </si>
  <si>
    <t>https://docs.google.com/document/d/1WOoAeunxPw3KXRo-B2cM4PCpq-07t6kTt_lXOREkyuQ/edit?usp=drivesdk</t>
  </si>
  <si>
    <t>B10- INDENIZAÇÃO ALAGAMENTO RESIDÊNCIA</t>
  </si>
  <si>
    <t>BOLETIM_RADIO_TJRN_14_04_2026_B10_INDENIZACAO_ALAGAMENTO_RESIDENCIA</t>
  </si>
  <si>
    <t>https://docs.google.com/document/d/1we9lQ97-5xxsDJRQF1_mnTpseNgXHEKK8zMDSwPqnI0/edit?usp=drivesdk</t>
  </si>
  <si>
    <t>B9- CONDENAÇÃO GOLPE IDOSA</t>
  </si>
  <si>
    <t>BOLETIM_RADIO_TJRN_14_04_2026_B9_CONDENACAO_GOLPE_IDOSA</t>
  </si>
  <si>
    <t>https://docs.google.com/document/d/15fyb3u3Dwcu2A7U0aNlZ367cxdMyK26bbRyEFDe4uig/edit?usp=drivesdk</t>
  </si>
  <si>
    <t>B8- BLOQUEIO APLICATIVO MENSAGENS</t>
  </si>
  <si>
    <t>BOLETIM_RADIO_TJRN_14_04_2026_B8_BLOQUEIO_APLICATIVO_MENSAGENS</t>
  </si>
  <si>
    <t>https://docs.google.com/document/d/1qwhgFrEDEjHFtCBLK8Eu2VVjHXuDJPkVEQxt9vWmPvE/edit?usp=drivesdk</t>
  </si>
  <si>
    <t>B7- REGISTRE-SE</t>
  </si>
  <si>
    <t>BOLETIM_RADIO_TJRN_14_04_2026_B7_REGISTRE_SE</t>
  </si>
  <si>
    <t>https://docs.google.com/document/d/1oWN1Ogill7BLRGtWGF0z6YcU45vjmWOTGn7IzH0CNyU/edit?usp=drivesdk</t>
  </si>
  <si>
    <t>B6- CONDENAÇÃO FURTO CARRO</t>
  </si>
  <si>
    <t>BOLETIM_RADIO_TJRN_14_04_2026_B6_CONDENACAO_FURTO_CARRO</t>
  </si>
  <si>
    <t>https://docs.google.com/document/d/1viRVweqH8_kdjDg6Y5j_rUODtt3rQpdd2KdcXzAYrwk/edit?usp=drivesdk</t>
  </si>
  <si>
    <t>B5- AÇÃO EXTINTA HETEROIDENTIFICAÇÃO</t>
  </si>
  <si>
    <t>BOLETIM_RADIO_TJRN_14_04_2026_B5_ACAO_EXTINTA_HETEROIDENTIFICACAO</t>
  </si>
  <si>
    <t>https://docs.google.com/document/d/1geeKXhHonK8feUOjSFxDV29Fj5dBxaBb1faknPMJnrA/edit?usp=drivesdk</t>
  </si>
  <si>
    <t>B4- INDENIZAÇÃO FALTA HIGIENE HOSPEDAGEM</t>
  </si>
  <si>
    <t>BOLETIM_RADIO_TJRN_14_04_2026_B4_INDENIZACAO_FALTA_HIGIENE_HOSPEDAGEM</t>
  </si>
  <si>
    <t>https://docs.google.com/document/d/1Bs97gEr6qI0dabRZfB3zWVzOs4WRifUYDygA_Q69mYY/edit?usp=drivesdk</t>
  </si>
  <si>
    <t>B3- CONDENAÇÃO PLANO CIRURGIA FACIAL</t>
  </si>
  <si>
    <t>BOLETIM_RADIO_TJRN_14_04_2026_B3_CONDENACAO_PLANO_CIRURGIA_FACIAL</t>
  </si>
  <si>
    <t>https://docs.google.com/document/d/19wXv4XGvU-r45gcKf1w6eRN07W2R2d2woB3vYSON0i4/edit?usp=drivesdk</t>
  </si>
  <si>
    <t>B2- ANULAÇÃO DÉBITO TRIBUTÁRIO</t>
  </si>
  <si>
    <t>BOLETIM_RADIO_TJRN_14_04_2026_B2_ANULACAO_DEBITO_TRIBUTARIO</t>
  </si>
  <si>
    <t>https://docs.google.com/document/d/1MJDZn7Otb9LJKulc3Bh_Mk1-h-i8GowKb6hKyxK3NWI/edit?usp=drivesdk</t>
  </si>
  <si>
    <t>B1- BLOQUEIO TRATAMENTO CRIANÇA TEA</t>
  </si>
  <si>
    <t>BOLETIM_RADIO_TJRN_14_04_2026_B1_BLOQUEIO_TRATAMENTO_CRIANCA_TEA</t>
  </si>
  <si>
    <t>https://docs.google.com/document/d/17BdhOEvvtL7OnoddjJtl6GnGKIdsvWBJq7z6NNxucjA/edit?usp=drivesdk</t>
  </si>
  <si>
    <t>B10- SUPLEMENTO CRIANÇA SELETIVIDADE</t>
  </si>
  <si>
    <t>BOLETIM_RADIO_TJRN_13_04_2026_B10_SUPLEMENTO_CRIANCA_SELETIVIDADE</t>
  </si>
  <si>
    <t>https://docs.google.com/document/d/11C6_QlrjatudIWaGt_VzY5vEzct2HbZoZA0lazRLZrw/edit?usp=drivesdk</t>
  </si>
  <si>
    <t>B9- CONTRATAÇÃO MÉDICO IRREGULAR</t>
  </si>
  <si>
    <t>BOLETIM_RADIO_TJRN_13_04_2026_B9_CONTRATACAO_MEDICO_IRREGULAR</t>
  </si>
  <si>
    <t>https://docs.google.com/document/d/1tmHamWLsEIJV3_5Rhg_FuX5jMfal7dTyRZJvcSyPL6k/edit?usp=drivesdk</t>
  </si>
  <si>
    <t>B8- SUSPENSÃO FATURA ENERGIA ELÉTRICA</t>
  </si>
  <si>
    <t>BOLETIM_RADIO_TJRN_13_04_2026_B8_SUSPENSAO_FATURA_ENERGIA_ELETRICA</t>
  </si>
  <si>
    <t>https://docs.google.com/document/d/1JMS32K3SRRfbBRl-swVHbS8pvbOkWZLDszjEpmXI2L0/edit?usp=drivesdk</t>
  </si>
  <si>
    <t>B7- DANOS MORAIS MANOBRA IRREGULAR</t>
  </si>
  <si>
    <t>BOLETIM_RADIO_TJRN_13_04_2026_B7_DANOS_MORAIS_MANOBRA_IRREGULAR</t>
  </si>
  <si>
    <t>https://docs.google.com/document/d/1PEqHMcn_0zPc-iJeT_lpiAAawLd-pG3bYGaEerCy3RQ/edit?usp=drivesdk</t>
  </si>
  <si>
    <t xml:space="preserve">B6- TJRN CONVOCA 45 TÉCNICOS </t>
  </si>
  <si>
    <t>BOLETIM_RADIO_TJRN_13_04_2026_B6_TJRN_CONVOCA_45_TECNICOS_</t>
  </si>
  <si>
    <t>https://docs.google.com/document/d/1TmQdb0APCeS0Hv0iceXmNaTblh6JjpNC3tvO58OpgqA/edit?usp=drivesdk</t>
  </si>
  <si>
    <t xml:space="preserve">B5- TJRN PASSAGEIRA RECEBEU MALA DANIFICADA </t>
  </si>
  <si>
    <t>BOLETIM_RADIO_TJRN_13_04_2026_B5_TJRN_PASSAGEIRA_RECEBEU_MALA_DANIFICADA_</t>
  </si>
  <si>
    <t>https://docs.google.com/document/d/1xEjQUCKUq4td0GhisMsIT8In8-ORBAkWJPQ8AaBoLOg/edit?usp=drivesdk</t>
  </si>
  <si>
    <t xml:space="preserve">B4- TJRN ACUSADOS CRIMES TRÁFICO </t>
  </si>
  <si>
    <t>BOLETIM_RADIO_TJRN_13_04_2026_B4_TJRN_ACUSADOS_CRIMES_TRAFICO_</t>
  </si>
  <si>
    <t>https://docs.google.com/document/d/1M27BC4CMwqEWjaUedNjpHE2hmEj-HsnGITTbZah7Ams/edit?usp=drivesdk</t>
  </si>
  <si>
    <t xml:space="preserve">B3- TJRN IPERN CONDENADO INDENIZAR SERVIDORA </t>
  </si>
  <si>
    <t>BOLETIM_RADIO_TJRN_13_04_2026_B3_TJRN_IPERN_CONDENADO_INDENIZAR_SERVIDORA_</t>
  </si>
  <si>
    <t>https://docs.google.com/document/d/13_-cfic5tS0mwuPL-P1u_tQPUhAFdgZfi2txwmORjOs/edit?usp=drivesdk</t>
  </si>
  <si>
    <t xml:space="preserve">B2- TJRN PARNAMIRIM CONDENADO ACIDENTE TRANSPORTE </t>
  </si>
  <si>
    <t>BOLETIM_RADIO_TJRN_13_04_2026_B2_TJRN_PARNAMIRIM_CONDENADO_ACIDENTE_TRANSPORTE_</t>
  </si>
  <si>
    <t>https://docs.google.com/document/d/10nG75mnS38K5K2mI3-19Jz3uMBBnW9Vq9Wk5EBpOYxU/edit?usp=drivesdk</t>
  </si>
  <si>
    <t xml:space="preserve">B1- TJRN CONDENA PLATAFORMA DIGITAL FALHA </t>
  </si>
  <si>
    <t>BOLETIM_RADIO_TJRN_13_04_2026_B1_TJRN_CONDENA_PLATAFORMA_DIGITAL_FALHA_</t>
  </si>
  <si>
    <t>https://docs.google.com/document/d/1CwVVXy2jO7lNYTH9Z-xDeXggHD8ZUg14DWd6GF5RVBU/edit?usp=drivesdk</t>
  </si>
  <si>
    <t>B10- TJRN DETERMINA SUSPENSÃO ATO CANDIDATA APROVADA</t>
  </si>
  <si>
    <t>BOLETIM_RADIO_TJRN_10_04_2026_B10_TJRN_DETERMINA_SUSPENSAO_ATO_CANDIDATA_APROVADA</t>
  </si>
  <si>
    <t>https://docs.google.com/document/d/1NyxGp_gu-4LNdhvwt3LkMKNaW8SkANnsbSDPKrPxU6o/edit?usp=drivesdk</t>
  </si>
  <si>
    <t xml:space="preserve">B9- TJRN RECONHECE DESCUMPRIMENTO CONTRATUAL </t>
  </si>
  <si>
    <t>BOLETIM_RADIO_TJRN_10_04_2026_B9_TJRN_RECONHECE_DESCUMPRIMENTO_CONTRATUAL_</t>
  </si>
  <si>
    <t>https://docs.google.com/document/d/1loaW-sdeRgHyWIoypFJFwZ7dvs78XYSaJxATZ-onMjg/edit?usp=drivesdk</t>
  </si>
  <si>
    <t xml:space="preserve">B8- TJRN DUPLA CONDENADA ASSALTO </t>
  </si>
  <si>
    <t>BOLETIM_RADIO_TJRN_10_04_2026_B8_TJRN_DUPLA_CONDENADA_ASSALTO_</t>
  </si>
  <si>
    <t>https://docs.google.com/document/d/115b5OQrSqNlwEHdvRGNQluf-oGgxxzpyZ6uxaSTkSL0/edit?usp=drivesdk</t>
  </si>
  <si>
    <t xml:space="preserve">B7- TJRN TRIPLO HOMICÍDIO NISIA FLORESTA JÚRI MANTIDO </t>
  </si>
  <si>
    <t>BOLETIM_RADIO_TJRN_10_04_2026_B7_TJRN_TRIPLO_HOMICIDIO_NISIA_FLORESTA_JURI_MANTIDO_</t>
  </si>
  <si>
    <t>https://docs.google.com/document/d/1qLUboOpXvLQPmNlW_7fIZZKxwZMx1Q8v50X0eGn39YA/edit?usp=drivesdk</t>
  </si>
  <si>
    <t xml:space="preserve">B6- TJRN PLANO SAÚDE COBRANÇA EXCESSIVA </t>
  </si>
  <si>
    <t>BOLETIM_RADIO_TJRN_10_04_2026_B6_TJRN_PLANO_SAUDE_COBRANCA_EXCESSIVA_</t>
  </si>
  <si>
    <t>https://docs.google.com/document/d/1qTk9CS5Eq6o-sqIVkWvI3N4q8RLZcafiASaeGxQsMHY/edit?usp=drivesdk</t>
  </si>
  <si>
    <t xml:space="preserve">B5- TJRN RECONHECE DIREITO CORRETOR </t>
  </si>
  <si>
    <t>BOLETIM_RADIO_TJRN_10_04_2026_B5_TJRN_RECONHECE_DIREITO_CORRETOR_</t>
  </si>
  <si>
    <t>https://docs.google.com/document/d/1V2uQr0niI6jsY7kXDarbiOTblbyqba2kfogeT1DuqfU/edit?usp=drivesdk</t>
  </si>
  <si>
    <t xml:space="preserve">B4- TJRN CLIENTE SOFRE GOLPE EMPRÉSTIMO CONSIGNADO </t>
  </si>
  <si>
    <t>BOLETIM_RADIO_TJRN_10_04_2026_B4_TJRN_CLIENTE_SOFRE_GOLPE_EMPRESTIMO_CONSIGNADO_</t>
  </si>
  <si>
    <t>https://docs.google.com/document/d/162INNGLi0AZV7rOWLSD1uWztnrKDR3nkq2cJQ-GIavc/edit?usp=drivesdk</t>
  </si>
  <si>
    <t xml:space="preserve">B3- TJRN COSERN CANCELAR DÉBITO FRAUDE </t>
  </si>
  <si>
    <t>BOLETIM_RADIO_TJRN_10_04_2026_B3_TJRN_COSERN_CANCELAR_DEBITO_FRAUDE_</t>
  </si>
  <si>
    <t>https://docs.google.com/document/d/1Tr5RAFz6W8lbMVF8sYKV-H-gP6RrdtyaypEnjwd1s8E/edit?usp=drivesdk</t>
  </si>
  <si>
    <t xml:space="preserve">B2- TJRN SUPERLOTAÇÃO CARCERÁRIA PROGRESSÃO REGIME </t>
  </si>
  <si>
    <t>BOLETIM_RADIO_TJRN_10_04_2026_B2_TJRN_SUPERLOTACAO_CARCERARIA_PROGRESSAO_REGIME_</t>
  </si>
  <si>
    <t>https://docs.google.com/document/d/1mE9gvwbIay1UZ7pYkdOoMqF5Vics0U9JrbmF0WLpXMs/edit?usp=drivesdk</t>
  </si>
  <si>
    <t xml:space="preserve">B1-TJRN DECISÃO REALIZAÇÃO PERÍCIA ASSINATURA </t>
  </si>
  <si>
    <t>BOLETIM_RADIO_TJRN_10_04_2026_B1_TJRN_DECISAO_REALIZACAO_PERICIA_ASSINATURA_</t>
  </si>
  <si>
    <t>https://docs.google.com/document/d/1ukALgo95EZogpgAh4NLsehkQq5n3MdDDa8TFeOesW3c/edit?usp=drivesdk</t>
  </si>
  <si>
    <t xml:space="preserve">B10- TRE/RN AUTOATENDIMENTO ELEITORAL BIOMETRIA </t>
  </si>
  <si>
    <t>BOLETIM_RADIO_TJRN_09_04_2026_B10_TRERN_AUTOATENDIMENTO_ELEITORAL_BIOMETRIA_</t>
  </si>
  <si>
    <t>https://docs.google.com/document/d/1_rTSbLtADbzd9wHzNm2pELkma8oDWe54A-2XJKaQy3w/edit?usp=drivesdk</t>
  </si>
  <si>
    <t xml:space="preserve">B9- TRE/RN CAMPANHA ARRECADAÇÕES LIVROS INFANTIS </t>
  </si>
  <si>
    <t>BOLETIM_RADIO_TJRN_09_04_2026_B9_TRERN_CAMPANHA_ARRECADACOES_LIVROS_INFANTIS_</t>
  </si>
  <si>
    <t>https://docs.google.com/document/d/1118QpL3fDyas1bl-ftOGCpE7blnXToyaJXcAFzlWvwc/edit?usp=drivesdk</t>
  </si>
  <si>
    <t xml:space="preserve">B8- TRT/RN NOVA SALA ESPERA AUDIÊNCIA </t>
  </si>
  <si>
    <t>BOLETIM_RADIO_TJRN_09_04_2026_B8_TRTRN_NOVA_SALA_ESPERA_AUDIENCIA_</t>
  </si>
  <si>
    <t>https://docs.google.com/document/d/1FvCoayj5bIIyqxBeQT5MFGGktA6qgjHqsLeuaUnOjTs/edit?usp=drivesdk</t>
  </si>
  <si>
    <t>B7- TJRN SEMANA NACIONAL REGISTRO CIVIL</t>
  </si>
  <si>
    <t>BOLETIM_RADIO_TJRN_09_04_2026_B7_TJRN_SEMANA_NACIONAL_REGISTRO_CIVIL</t>
  </si>
  <si>
    <t>https://docs.google.com/document/d/1RnIZAPYpZJ_MsbO362sMAd2iYAvRbYRQB7NR-CfUzHg/edit?usp=drivesdk</t>
  </si>
  <si>
    <t xml:space="preserve">B6- TJRN CÂMARA SESSÃO EXTRAORDINÁRIA HÍBRIDA </t>
  </si>
  <si>
    <t>BOLETIM_RADIO_TJRN_09_04_2026_B6_TJRN_CAMARA_SESSAO_EXTRAORDINARIA_HIBRIDA_</t>
  </si>
  <si>
    <t>https://docs.google.com/document/d/14kLowDOkrSsFFLnWkS_YNKwrrQlohy6YzYsXjQSd_us/edit?usp=drivesdk</t>
  </si>
  <si>
    <t xml:space="preserve">B5- TJRN MANTIDA CONDENAÇÃO EMPRESA AÉREA </t>
  </si>
  <si>
    <t>BOLETIM_RADIO_TJRN_09_04_2026_B5_TJRN_MANTIDA_CONDENACAO_EMPRESA_AEREA_</t>
  </si>
  <si>
    <t>https://docs.google.com/document/d/1eiTfC3atmkl4wTri_Jope1EwbX0f1lA8HXomRcJ_Zrw/edit?usp=drivesdk</t>
  </si>
  <si>
    <t>B4- TJRN SUPOSTO DESVIO FUNÇÃO PM</t>
  </si>
  <si>
    <t>BOLETIM_RADIO_TJRN_09_04_2026_B4_TJRN_SUPOSTO_DESVIO_FUNCAO_PM</t>
  </si>
  <si>
    <t>https://docs.google.com/document/d/1lewjX8TJ45Ef2NzKLWiuxCTp3u5roRdO9r8MKyZ4QlI/edit?usp=drivesdk</t>
  </si>
  <si>
    <t xml:space="preserve">B3- TJRN TECNICO PAGAMENTO SERVIÇO </t>
  </si>
  <si>
    <t>BOLETIM_RADIO_TJRN_09_04_2026_B3_TJRN_TECNICO_PAGAMENTO_SERVICO_</t>
  </si>
  <si>
    <t>https://docs.google.com/document/d/1UBLDz9KjVr4vna-e9KcStUIPB8qFu18LiInTK75E4eA/edit?usp=drivesdk</t>
  </si>
  <si>
    <t>B2- TJRN MANTÉM CONDENAÇÃO ACUSADOS ROUBO</t>
  </si>
  <si>
    <t>BOLETIM_RADIO_TJRN_09_04_2026_B2_TJRN_MANTEM_CONDENACAO_ACUSADOS_ROUBO</t>
  </si>
  <si>
    <t>https://docs.google.com/document/d/1ZtRxAUOyizAwmQk5O06A_6Ro5yzAjCtGIQVImfD-eCo/edit?usp=drivesdk</t>
  </si>
  <si>
    <t xml:space="preserve">B1- TJRN COBRANÇA INDEVIDA BAGAGEM </t>
  </si>
  <si>
    <t>BOLETIM_RADIO_TJRN_09_04_2026_B1_TJRN_COBRANCA_INDEVIDA_BAGAGEM_</t>
  </si>
  <si>
    <t>https://docs.google.com/document/d/1CJ4PqKlLDd2oqL19wugS9Pin1-47xzRqIsJgACKXmcA/edit?usp=drivesdk</t>
  </si>
  <si>
    <t>B10- TJRN SEMANA NACIONAL SAÚDE</t>
  </si>
  <si>
    <t>BOLETIM_RADIO_TJRN_08_04_2026_B10_TJRN_SEMANA_NACIONAL_SAUDE</t>
  </si>
  <si>
    <t>https://docs.google.com/document/d/1T2jsxsrQJOAoAkGaF9wl0ZLEHZK19QGe1_9WzKXq498/edit?usp=drivesdk</t>
  </si>
  <si>
    <t xml:space="preserve">B9- TJRN ANULA CONTRATO ÓTICA </t>
  </si>
  <si>
    <t>BOLETIM_RADIO_TJRN_08_04_2026_B9_TJRN_ANULA_CONTRATO_OTICA_</t>
  </si>
  <si>
    <t>https://docs.google.com/document/d/1xyGUsIMOxsmzuN3CBZNby3-fbO-79FgajkDEO2yfLSU/edit?usp=drivesdk</t>
  </si>
  <si>
    <t xml:space="preserve">B8- TJRN FALHA DEPÓSITO BANCÁRIO </t>
  </si>
  <si>
    <t>BOLETIM_RADIO_TJRN_08_04_2026_B8_TJRN_FALHA_DEPOSITO_BANCARIO_</t>
  </si>
  <si>
    <t>https://docs.google.com/document/d/1oOQPoEql03iFiIMPkApcWPbx5bHDtw9MoBrn0Y46s_U/edit?usp=drivesdk</t>
  </si>
  <si>
    <t>B7- TJRN PLATAFORMA NAO EFETIVA RESERVA HOTEL</t>
  </si>
  <si>
    <t>BOLETIM_RADIO_TJRN_08_04_2026_B7_TJRN_PLATAFORMA_NAO_EFETIVA_RESERVA_HOTEL</t>
  </si>
  <si>
    <t>https://docs.google.com/document/d/1tzjsRTU-Ej0KlqVdPmSl6hxaUy2BMOnToj8jTyBUpao/edit?usp=drivesdk</t>
  </si>
  <si>
    <t xml:space="preserve">B6- TJRN VIGILANTE AUXILIAR CONDENADOS </t>
  </si>
  <si>
    <t>BOLETIM_RADIO_TJRN_08_04_2026_B6_TJRN_VIGILANTE_AUXILIAR_CONDENADOS_</t>
  </si>
  <si>
    <t>https://docs.google.com/document/d/1YcqKgv1ACCps-kEM5Ayjuqkjm6Lwj5HkGpZA2stcvXk/edit?usp=drivesdk</t>
  </si>
  <si>
    <t xml:space="preserve">B5- TJRN SENTENÇA EXIGÊNCIA PROCURAÇÃO DETRAN </t>
  </si>
  <si>
    <t>BOLETIM_RADIO_TJRN_08_04_2026_B5_TJRN_SENTENCA_EXIGENCIA_PROCURACAO_DETRAN_</t>
  </si>
  <si>
    <t>https://docs.google.com/document/d/1mDRQZcamYJTVX59ufH_g4IH9QI-s-rNQE0ZMpNYRC_g/edit?usp=drivesdk</t>
  </si>
  <si>
    <t xml:space="preserve">B4- TJRN PLANO SAÚDE CONDENADO CIRURGIA OCULAR </t>
  </si>
  <si>
    <t>BOLETIM_RADIO_TJRN_08_04_2026_B4_TJRN_PLANO_SAUDE_CONDENADO_CIRURGIA_OCULAR_</t>
  </si>
  <si>
    <t>https://docs.google.com/document/d/1SSb7mURZiyRL2H9Q21Ci7fpVievuMu4gl-oSuRqVclQ/edit?usp=drivesdk</t>
  </si>
  <si>
    <t xml:space="preserve">B3- TJRN AÇÃO ALIMENTOS IDOSO ALZHEIMER </t>
  </si>
  <si>
    <t>BOLETIM_RADIO_TJRN_08_04_2026_B3_TJRN_ACAO_ALIMENTOS_IDOSO_ALZHEIMER_</t>
  </si>
  <si>
    <t>https://docs.google.com/document/d/1lPfRtQajYtHbCBbCgX2Gr-LfpoNMnUnLiSEVbVJyVxw/edit?usp=drivesdk</t>
  </si>
  <si>
    <t xml:space="preserve">B2- TJRN BANCO CONDENADO VAZAMENTOS DADOS </t>
  </si>
  <si>
    <t>BOLETIM_RADIO_TJRN_08_04_2026_B2_TJRN_BANCO_CONDENADO_VAZAMENTOS_DADOS_</t>
  </si>
  <si>
    <t>https://docs.google.com/document/d/1gJ9VnxF96Uw9_SiusNbM7wbz9okrkElfVi3E7rpXXf0/edit?usp=drivesdk</t>
  </si>
  <si>
    <t xml:space="preserve">B1- TJRN SANTA CRUZ PROJETOS SOCIAIS </t>
  </si>
  <si>
    <t>BOLETIM_RADIO_TJRN_08_04_2026_B1_TJRN_SANTA_CRUZ_PROJETOS_SOCIAIS_</t>
  </si>
  <si>
    <t>https://docs.google.com/document/d/1YYc93KEXYyRJaIAI7pYy42rugj-w3xziZYS4JrjeRoI/edit?usp=drivesdk</t>
  </si>
  <si>
    <t>B10- REPARADORA BARIÁTRICA</t>
  </si>
  <si>
    <t>BOLETIM_RADIO_TJRN_07_04_2026_B10_REPARADORA_BARIATRICA</t>
  </si>
  <si>
    <t>https://docs.google.com/document/d/1syfG048ILaFH9cIhjIzrO_-g3Tvo30EhgIprLuVEPS0/edit?usp=drivesdk</t>
  </si>
  <si>
    <t>B9- INDENIZAÇÃO FALTA ÁGUA</t>
  </si>
  <si>
    <t>BOLETIM_RADIO_TJRN_07_04_2026_B9_INDENIZACAO_FALTA_AGUA</t>
  </si>
  <si>
    <t>https://docs.google.com/document/d/1-mHp8ZHd2FAttPPcH1Cl9IQBmq2abC1ziQxA_u_0gZ4/edit?usp=drivesdk</t>
  </si>
  <si>
    <t>B8- MPRN EX-SECRETÁRIO MOSSORÓ CONDENADO</t>
  </si>
  <si>
    <t>BOLETIM_RADIO_TJRN_07_04_2026_B8_MPRN_EX_SECRETARIO_MOSSORO_CONDENADO</t>
  </si>
  <si>
    <t>https://docs.google.com/document/d/1fib1FMQCMPqjEn99uWTbS7li7RDTl8Va9WoVJFYgQy0/edit?usp=drivesdk</t>
  </si>
  <si>
    <t>B7- FALHA ELETRÔNICA CONCURSO</t>
  </si>
  <si>
    <t>BOLETIM_RADIO_TJRN_07_04_2026_B7_FALHA_ELETRONICA_CONCURSO</t>
  </si>
  <si>
    <t>https://docs.google.com/document/d/1Q7cZ6fiZgQW0x_7DntR9RKX2_tNyOr_bQ-i99rA5JSs/edit?usp=drivesdk</t>
  </si>
  <si>
    <t xml:space="preserve">B6- TJRN ACUSADO SEQUESTRO </t>
  </si>
  <si>
    <t>BOLETIM_RADIO_TJRN_07_04_2026_B6_TJRN_ACUSADO_SEQUESTRO_</t>
  </si>
  <si>
    <t>https://docs.google.com/document/d/1rlWRy16Mh9HbUM_ty6z5ihiJNl48ADyYlCsukWOGR4U/edit?usp=drivesdk</t>
  </si>
  <si>
    <t xml:space="preserve">B5- TJRN CONDENADO ROUBO CARRO </t>
  </si>
  <si>
    <t>BOLETIM_RADIO_TJRN_07_04_2026_B5_TJRN_CONDENADO_ROUBO_CARRO_</t>
  </si>
  <si>
    <t>https://docs.google.com/document/d/1jKM3nuMbYRvHNmINrY5AFnidHUKjR5ByO8iV4WSIdA4/edit?usp=drivesdk</t>
  </si>
  <si>
    <t xml:space="preserve">B4- TJRN NEGADO ATO IMPROBIDADE SAO MIGUEL </t>
  </si>
  <si>
    <t>BOLETIM_RADIO_TJRN_07_04_2026_B4_TJRN_NEGADO_ATO_IMPROBIDADE_SAO_MIGUEL_</t>
  </si>
  <si>
    <t>https://docs.google.com/document/d/1wLY6Nf6cMPyjExXW1Lf3NF2u1zbiwRIuKTmXapnct1I/edit?usp=drivesdk</t>
  </si>
  <si>
    <t xml:space="preserve">B3- TJRN OPERADORA CONDENADA </t>
  </si>
  <si>
    <t>BOLETIM_RADIO_TJRN_07_04_2026_B3_TJRN_OPERADORA_CONDENADA_</t>
  </si>
  <si>
    <t>https://docs.google.com/document/d/1HpZNs1Woptm4Yj1Kd5qZdZxRHbZ3hzOAu0CwjKbg6m4/edit?usp=drivesdk</t>
  </si>
  <si>
    <t xml:space="preserve">B2- TJRN CONSOLIDA MEDIAÇÃO CONFLITOS </t>
  </si>
  <si>
    <t>BOLETIM_RADIO_TJRN_07_04_2026_B2_TJRN_CONSOLIDA_MEDIACAO_CONFLITOS_</t>
  </si>
  <si>
    <t>https://docs.google.com/document/d/1kJJZy9HRGEe0rvZMQ9iIucHSEp3mgtN75hAYrYD5eIg/edit?usp=drivesdk</t>
  </si>
  <si>
    <t xml:space="preserve">B1- TJRN CLIENTES RECEBERAM AGÊNCIA TURISMO </t>
  </si>
  <si>
    <t>BOLETIM_RADIO_TJRN_07_04_2026_B1_TJRN_CLIENTES_RECEBERAM_AGENCIA_TURISMO_</t>
  </si>
  <si>
    <t>https://docs.google.com/document/d/1hidSZigJcs2sG7sRhkTiZdo12_J72sDKIWKFdjUx8eE/edit?usp=drivesdk</t>
  </si>
  <si>
    <t xml:space="preserve">B10- TJRN CONDENA FALSO ADVOGADO </t>
  </si>
  <si>
    <t>BOLETIM_RADIO_TJRN_06_04_2026_B10_TJRN_CONDENA_FALSO_ADVOGADO_</t>
  </si>
  <si>
    <t>https://docs.google.com/document/d/1jxfjH7UrQ_uQoymk_x_u_Dtk8XCjcpkev79beVc8ymk/edit?usp=drivesdk</t>
  </si>
  <si>
    <t xml:space="preserve">B9- TJRN GARANTE COBERTURA PARTO SEM CARÊNCIA </t>
  </si>
  <si>
    <t>BOLETIM_RADIO_TJRN_06_04_2026_B9_TJRN_GARANTE_COBERTURA_PARTO_SEM_CARENCIA_</t>
  </si>
  <si>
    <t>https://docs.google.com/document/d/1B24Dt8UiPllTGmrf-uX63gzSr5cDW7OjKLSLa5G1igA/edit?usp=drivesdk</t>
  </si>
  <si>
    <t xml:space="preserve">B8- TJRN DECISÃO REALIZAÇÃO PERÍCIA GRAFOTÉCNICA </t>
  </si>
  <si>
    <t>BOLETIM_RADIO_TJRN_06_04_2026_B8_TJRN_DECISAO_REALIZACAO_PERICIA_GRAFOTECNICA_</t>
  </si>
  <si>
    <t>https://docs.google.com/document/d/1bf3HW3LxQ4LTTeh0clNvbxADS1pj4okSQuQfR30HLZs/edit?usp=drivesdk</t>
  </si>
  <si>
    <t xml:space="preserve">B7- TJRN ACORDOS EXTRAJUDICIAIS PROSSEGUIMENTOS </t>
  </si>
  <si>
    <t>BOLETIM_RADIO_TJRN_06_04_2026_B7_TJRN_ACORDOS_EXTRAJUDICIAIS_PROSSEGUIMENTOS_</t>
  </si>
  <si>
    <t>https://docs.google.com/document/d/1UkY75RZEIMSFieB32XsiFLmnVtkt_DanVrIMO-9P8a8/edit?usp=drivesdk</t>
  </si>
  <si>
    <t xml:space="preserve">B6- TJRN NEGA RECURSO ACUSADO TENTATIVA FEMINICÍDIO </t>
  </si>
  <si>
    <t>BOLETIM_RADIO_TJRN_06_04_2026_B6_TJRN_NEGA_RECURSO_ACUSADO_TENTATIVA_FEMINICIDIO_</t>
  </si>
  <si>
    <t>https://docs.google.com/document/d/1bixhJ4OGo6Fd_KqvSOpDnVIlL0LAmPSPWXmtljPXnVQ/edit?usp=drivesdk</t>
  </si>
  <si>
    <t xml:space="preserve">B5- TJRN MANTÉM RESPONSABILIZAÇÃO DANOS ENCHENTE </t>
  </si>
  <si>
    <t>BOLETIM_RADIO_TJRN_06_04_2026_B5_TJRN_MANTEM_RESPONSABILIZACAO_DANOS_ENCHENTE_</t>
  </si>
  <si>
    <t>https://docs.google.com/document/d/1ahDd-j1z16HNHDtvPOlWlUEvWTBCtkE5MqLfmbxToMU/edit?usp=drivesdk</t>
  </si>
  <si>
    <t xml:space="preserve">B4- TJRN MUNICÍPIO GARANTIR CONSULTAS </t>
  </si>
  <si>
    <t>BOLETIM_RADIO_TJRN_06_04_2026_B4_TJRN_MUNICIPIO_GARANTIR_CONSULTAS_</t>
  </si>
  <si>
    <t>https://docs.google.com/document/d/1ogPWEfxiXiExYulWf3MbKu_eUifdL3od4rnyhcrzCYU/edit?usp=drivesdk</t>
  </si>
  <si>
    <t xml:space="preserve">B3- TJRN COJUD PROCESSO SELETIVO </t>
  </si>
  <si>
    <t>BOLETIM_RADIO_TJRN_06_04_2026_B3_TJRN_COJUD_PROCESSO_SELETIVO_</t>
  </si>
  <si>
    <t>https://docs.google.com/document/d/1a9IUhR5M8hrk4SWvyDLOGqEuG4gAW_IMiFzUG44ADYw/edit?usp=drivesdk</t>
  </si>
  <si>
    <t xml:space="preserve">B2- TJRN PROJETO GMF REDE SOCIOEDUCATIVA </t>
  </si>
  <si>
    <t>BOLETIM_RADIO_TJRN_06_04_2026_B2_TJRN_PROJETO_GMF_REDE_SOCIOEDUCATIVA_</t>
  </si>
  <si>
    <t>https://docs.google.com/document/d/1M31OsofsQw4Pcii3S0gzVj6801wUwCrr9jrzVapX3WE/edit?usp=drivesdk</t>
  </si>
  <si>
    <t xml:space="preserve">B1- TJRN FALHA ELETRÔNICA REGISTRO DOCUMENTO </t>
  </si>
  <si>
    <t>BOLETIM_RADIO_TJRN_06_04_2026_B1_TJRN_FALHA_ELETRONICA_REGISTRO_DOCUMENTO_</t>
  </si>
  <si>
    <t>https://docs.google.com/document/d/1MuzpbZA4nW--o3XuUp03cS0REXHUnPtsXhMn87Ge1xQ/edit?usp=drivesdk</t>
  </si>
  <si>
    <t>Última sincronização: 08/06/2026 14:16 • Sistema Rádio Web 2026</t>
  </si>
  <si>
    <t>Última sincronização: 08/06/2026 00:14 • Sistema Rádio Web 2026</t>
  </si>
  <si>
    <t>Última sincronização: 08/06/2026 02:15 • Sistema Rádio Web 2026</t>
  </si>
  <si>
    <t>Última sincronização: 08/06/2026 04:14 • Sistema Rádio Web 2026</t>
  </si>
  <si>
    <t>Última sincronização: 08/06/2026 06:16 • Sistema Rádio Web 2026</t>
  </si>
  <si>
    <t>Última sincronização: 08/06/2026 08:15 • Sistema Rádio Web 2026</t>
  </si>
  <si>
    <t>Última sincronização: 07/06/2026 00:13 • Sistema Rádio Web 2026</t>
  </si>
  <si>
    <t>Última sincronização: 07/06/2026 04:14 • Sistema Rádio Web 2026</t>
  </si>
  <si>
    <t>Última sincronização: 07/06/2026 06:13 • Sistema Rádio Web 2026</t>
  </si>
  <si>
    <t>Última sincronização: 07/06/2026 08:14 • Sistema Rádio Web 2026</t>
  </si>
  <si>
    <t>Última sincronização: 07/06/2026 10:15 • Sistema Rádio Web 2026</t>
  </si>
  <si>
    <t>Última sincronização: 07/06/2026 12:13 • Sistema Rádio Web 2026</t>
  </si>
  <si>
    <t>Última sincronização: 07/06/2026 14:14 • Sistema Rádio Web 2026</t>
  </si>
  <si>
    <t>Última sincronização: 07/06/2026 16:13 • Sistema Rádio Web 2026</t>
  </si>
  <si>
    <t>Última sincronização: 07/06/2026 18:15 • Sistema Rádio Web 2026</t>
  </si>
  <si>
    <t>Última sincronização: 07/06/2026 20:14 • Sistema Rádio Web 2026</t>
  </si>
  <si>
    <t>Última sincronização: 07/06/2026 22:14 • Sistema Rádio Web 2026</t>
  </si>
  <si>
    <t>Última sincronização: 06/06/2026 00:14 • Sistema Rádio Web 2026</t>
  </si>
  <si>
    <t>Última sincronização: 06/06/2026 02:15 • Sistema Rádio Web 2026</t>
  </si>
  <si>
    <t>Última sincronização: 06/06/2026 04:13 • Sistema Rádio Web 2026</t>
  </si>
  <si>
    <t>Última sincronização: 06/06/2026 06:15 • Sistema Rádio Web 2026</t>
  </si>
  <si>
    <t>Última sincronização: 06/06/2026 08:13 • Sistema Rádio Web 2026</t>
  </si>
  <si>
    <t>Última sincronização: 06/06/2026 10:15 • Sistema Rádio Web 2026</t>
  </si>
  <si>
    <t>Última sincronização: 06/06/2026 12:15 • Sistema Rádio Web 2026</t>
  </si>
  <si>
    <t>Última sincronização: 06/06/2026 14:13 • Sistema Rádio Web 2026</t>
  </si>
  <si>
    <t>Última sincronização: 06/06/2026 16:15 • Sistema Rádio Web 2026</t>
  </si>
  <si>
    <t>Última sincronização: 06/06/2026 18:15 • Sistema Rádio Web 2026</t>
  </si>
  <si>
    <t>Última sincronização: 06/06/2026 20:13 • Sistema Rádio Web 2026</t>
  </si>
  <si>
    <t>Última sincronização: 06/06/2026 22:13 • Sistema Rádio Web 2026</t>
  </si>
  <si>
    <t>Última sincronização: 05/06/2026 00:14 • Sistema Rádio Web 2026</t>
  </si>
  <si>
    <t>Última sincronização: 05/06/2026 02:14 • Sistema Rádio Web 2026</t>
  </si>
  <si>
    <t>Última sincronização: 05/06/2026 04:14 • Sistema Rádio Web 2026</t>
  </si>
  <si>
    <t>Última sincronização: 05/06/2026 06:13 • Sistema Rádio Web 2026</t>
  </si>
  <si>
    <t>Última sincronização: 05/06/2026 08:14 • Sistema Rádio Web 2026</t>
  </si>
  <si>
    <t>Última sincronização: 05/06/2026 10:16 • Sistema Rádio Web 2026</t>
  </si>
  <si>
    <t>Última sincronização: 05/06/2026 12:15 • Sistema Rádio Web 2026</t>
  </si>
  <si>
    <t>Última sincronização: 05/06/2026 16:15 • Sistema Rádio Web 2026</t>
  </si>
  <si>
    <t>Última sincronização: 05/06/2026 18:16 • Sistema Rádio Web 2026</t>
  </si>
  <si>
    <t>Última sincronização: 05/06/2026 20:13 • Sistema Rádio Web 2026</t>
  </si>
  <si>
    <t>Última sincronização: 05/06/2026 22:15 • Sistema Rádio Web 2026</t>
  </si>
  <si>
    <t>Última sincronização: 04/06/2026 00:14 • Sistema Rádio Web 2026</t>
  </si>
  <si>
    <t>Última sincronização: 04/06/2026 04:15 • Sistema Rádio Web 2026</t>
  </si>
  <si>
    <t>Última sincronização: 04/06/2026 06:14 • Sistema Rádio Web 2026</t>
  </si>
  <si>
    <t>Última sincronização: 04/06/2026 08:14 • Sistema Rádio Web 2026</t>
  </si>
  <si>
    <t>Última sincronização: 04/06/2026 12:15 • Sistema Rádio Web 2026</t>
  </si>
  <si>
    <t>Última sincronização: 04/06/2026 14:16 • Sistema Rádio Web 2026</t>
  </si>
  <si>
    <t>Última sincronização: 04/06/2026 16:15 • Sistema Rádio Web 2026</t>
  </si>
  <si>
    <t>Última sincronização: 04/06/2026 20:15 • Sistema Rádio Web 2026</t>
  </si>
  <si>
    <t>Última sincronização: 04/06/2026 22:14 • Sistema Rádio Web 2026</t>
  </si>
  <si>
    <t>Última sincronização: 03/06/2026 00:14 • Sistema Rádio Web 2026</t>
  </si>
  <si>
    <t>Última sincronização: 03/06/2026 02:16 • Sistema Rádio Web 2026</t>
  </si>
  <si>
    <t>Última sincronização: 03/06/2026 06:16 • Sistema Rádio Web 2026</t>
  </si>
  <si>
    <t>Última sincronização: 03/06/2026 08:16 • Sistema Rádio Web 2026</t>
  </si>
  <si>
    <t>Última sincronização: 03/06/2026 14:15 • Sistema Rádio Web 2026</t>
  </si>
  <si>
    <t>Última sincronização: 03/06/2026 16:15 • Sistema Rádio Web 2026</t>
  </si>
  <si>
    <t>Última sincronização: 03/06/2026 18:14 • Sistema Rádio Web 2026</t>
  </si>
  <si>
    <t>Última sincronização: 03/06/2026 22:14 • Sistema Rádio Web 2026</t>
  </si>
  <si>
    <t>Última sincronização: 02/06/2026 00:14 • Sistema Rádio Web 2026</t>
  </si>
  <si>
    <t>Última sincronização: 02/06/2026 02:17 • Sistema Rádio Web 2026</t>
  </si>
  <si>
    <t>Última sincronização: 02/06/2026 04:14 • Sistema Rádio Web 2026</t>
  </si>
  <si>
    <t>Última sincronização: 02/06/2026 06:14 • Sistema Rádio Web 2026</t>
  </si>
  <si>
    <t>Última sincronização: 02/06/2026 08:17 • Sistema Rádio Web 2026</t>
  </si>
  <si>
    <t>Última sincronização: 02/06/2026 14:17 • Sistema Rádio Web 2026</t>
  </si>
  <si>
    <t>Última sincronização: 02/06/2026 16:15 • Sistema Rádio Web 2026</t>
  </si>
  <si>
    <t>Última sincronização: 02/06/2026 18:16 • Sistema Rádio Web 2026</t>
  </si>
  <si>
    <t>Última sincronização: 02/06/2026 20:14 • Sistema Rádio Web 2026</t>
  </si>
  <si>
    <t>Última sincronização: 02/06/2026 22:15 • Sistema Rádio Web 2026</t>
  </si>
  <si>
    <t>Última sincronização: 01/06/2026 06:17 • Sistema Rádio Web 2026</t>
  </si>
  <si>
    <t>Última sincronização: 01/06/2026 12:15 • Sistema Rádio Web 2026</t>
  </si>
  <si>
    <t>Última sincronização: 01/06/2026 16:14 • Sistema Rádio Web 2026</t>
  </si>
  <si>
    <t>Última sincronização: 01/06/2026 18:16 • Sistema Rádio Web 2026</t>
  </si>
  <si>
    <t>Última sincronização: 01/06/2026 20:15 • Sistema Rádio Web 2026</t>
  </si>
  <si>
    <t>Última sincronização: 01/06/2026 22:14 • Sistema Rádio Web 2026</t>
  </si>
  <si>
    <t xml:space="preserve">B10- TJRN REFORMA DECISÃO CONTRATAÇÃO ASSESSORIA </t>
  </si>
  <si>
    <t>BOLETIM_RADIO_TJRN_31_03_2026_B10_TJRN_REFORMA_DECISAO_CONTRATACAO_ASSESSORIA_</t>
  </si>
  <si>
    <t>https://docs.google.com/document/d/1dmev_GQJ0mg9l3ezekcURFQYvuEYXMLa2BdjGtJmAbo/edit?usp=drivesdk</t>
  </si>
  <si>
    <t xml:space="preserve">B9- TJRN PROCEDIMENTOS REPARADORES </t>
  </si>
  <si>
    <t>BOLETIM_RADIO_TJRN_31_03_2026_B9_TJRN_PROCEDIMENTOS_REPARADORES_</t>
  </si>
  <si>
    <t>https://docs.google.com/document/d/1cvwFXuYiMhddCGiMutE2k1H0tXDqnEVsWdreepKjVPU/edit?usp=drivesdk</t>
  </si>
  <si>
    <t xml:space="preserve">B8- TJRN DESCREDENCIAMENTO CLÍNICA </t>
  </si>
  <si>
    <t>BOLETIM_RADIO_TJRN_31_03_2026_B8_TJRN_DESCREDENCIAMENTO_CLINICA_</t>
  </si>
  <si>
    <t>https://docs.google.com/document/d/1n3_Fec6pgoSzgftzSq0yzn1Rw1KAPwrQhYGsRFRvRYM/edit?usp=drivesdk</t>
  </si>
  <si>
    <t xml:space="preserve">B7- TJRN CONDENA HOMEM INJÚRIA </t>
  </si>
  <si>
    <t>BOLETIM_RADIO_TJRN_31_03_2026_B7_TJRN_CONDENA_HOMEM_INJURIA_</t>
  </si>
  <si>
    <t>https://docs.google.com/document/d/16qTMlYQLAaqHqAkKwSPp4MzZupPMpfpQN4r-gWdgaFI/edit?usp=drivesdk</t>
  </si>
  <si>
    <t>B6- PAVILHÃO MÁRIO NEGÓCIO</t>
  </si>
  <si>
    <t>BOLETIM_RADIO_TJRN_31_03_2026_B6_PAVILHAO_MARIO_NEGOCIO</t>
  </si>
  <si>
    <t>https://docs.google.com/document/d/1yRKR1mXZsEnrxYk4R1tnpGi2LfoWPiixxqGLzYcQ3D8/edit?usp=drivesdk</t>
  </si>
  <si>
    <t>B5- TJRN FINALISTA COMUNICAÇÃO PÚBLICA</t>
  </si>
  <si>
    <t>BOLETIM_RADIO_TJRN_31_03_2026_B5_TJRN_FINALISTA_COMUNICACAO_PUBLICA</t>
  </si>
  <si>
    <t>https://docs.google.com/document/d/1ZrB4vFsop1zCvsP2wg07pGatpAaz0dazfNmjTEQZt_g/edit?usp=drivesdk</t>
  </si>
  <si>
    <t>B4- CONVOCADOS CONCURSO</t>
  </si>
  <si>
    <t>BOLETIM_RADIO_TJRN_31_03_2026_B4_CONVOCADOS_CONCURSO</t>
  </si>
  <si>
    <t>https://docs.google.com/document/d/1cwb5HKyET9_cSgN8tYCljIsGZahwiNvqNr5-v3IM710/edit?usp=drivesdk</t>
  </si>
  <si>
    <t>B3- BANCA HETEROIDENTIFICAÇÃO ENAM</t>
  </si>
  <si>
    <t>BOLETIM_RADIO_TJRN_31_03_2026_B3_BANCA_HETEROIDENTIFICACAO_ENAM</t>
  </si>
  <si>
    <t>https://docs.google.com/document/d/197mTcLR2GMkBme1rDXb5dwbmzCuapl9bwNFvv03ZZ30/edit?usp=drivesdk</t>
  </si>
  <si>
    <t>B2- REINTEGRAÇÃO POSSE IMOVEL</t>
  </si>
  <si>
    <t>BOLETIM_RADIO_TJRN_31_03_2026_B2_REINTEGRACAO_POSSE_IMOVEL</t>
  </si>
  <si>
    <t>https://docs.google.com/document/d/134DQTA20DEKYh_Elt6o0ib8iYHsR9tVluDzRll_NwdM/edit?usp=drivesdk</t>
  </si>
  <si>
    <t>B1- INJÚRIA QUALIFICADA IDOSA</t>
  </si>
  <si>
    <t>BOLETIM_RADIO_TJRN_31_03_2026_B1_INJURIA_QUALIFICADA_IDOSA</t>
  </si>
  <si>
    <t>https://docs.google.com/document/d/1TVAid9Rk_jGxcKLUc-VmKZIOxaNrfBTlA7q3UptlH64/edit?usp=drivesdk</t>
  </si>
  <si>
    <t>B10- PENSÃO GUARDA MUNICIPAL</t>
  </si>
  <si>
    <t>BOLETIM_RADIO_TJRN_30_03_2026_B10_PENSAO_GUARDA_MUNICIPAL</t>
  </si>
  <si>
    <t>https://docs.google.com/document/d/1PTX4FLvzm-I2mmdDJ7fwGsb8w0RV9xJxdt2FJ6lGKoE/edit?usp=drivesdk</t>
  </si>
  <si>
    <t>B9- GMF AÇÃO MOSSORÓ</t>
  </si>
  <si>
    <t>BOLETIM_RADIO_TJRN_30_03_2026_B9_GMF_ACAO_MOSSORO</t>
  </si>
  <si>
    <t>https://docs.google.com/document/d/165dOdzAXUMdQwuNUM8N6ZU3GvP7kp1NgnUaZXB9aOkc/edit?usp=drivesdk</t>
  </si>
  <si>
    <t>B8- BLOQUEIO INDEVIDO BANCO</t>
  </si>
  <si>
    <t>BOLETIM_RADIO_TJRN_30_03_2026_B8_BLOQUEIO_INDEVIDO_BANCO</t>
  </si>
  <si>
    <t>https://docs.google.com/document/d/1Lf86SSxiA_4PIsGVxqw37S3cxpcrUWw2iqrzwV4ZEEk/edit?usp=drivesdk</t>
  </si>
  <si>
    <t>B7- DESCONTOS PREVIDENCIÁRIOS</t>
  </si>
  <si>
    <t>BOLETIM_RADIO_TJRN_30_03_2026_B7_DESCONTOS_PREVIDENCIARIOS</t>
  </si>
  <si>
    <t>https://docs.google.com/document/d/1hjH8r_mAg-xMTyjMEAAz0uAkMiG1-HWuKUyriLGzahU/edit?usp=drivesdk</t>
  </si>
  <si>
    <t>B6- AUTOMÓVEL DEFEITO FABRICAÇÃO</t>
  </si>
  <si>
    <t>BOLETIM_RADIO_TJRN_30_03_2026_B6_AUTOMOVEL_DEFEITO_FABRICACAO</t>
  </si>
  <si>
    <t>https://docs.google.com/document/d/1m0f_gixFY7Qgp1pJZzEVEEAeM0_da1zPMNR_U_PvAEk/edit?usp=drivesdk</t>
  </si>
  <si>
    <t>B5- EVENTO INOVAÇÃO SETIC</t>
  </si>
  <si>
    <t>BOLETIM_RADIO_TJRN_30_03_2026_B5_EVENTO_INOVACAO_SETIC</t>
  </si>
  <si>
    <t>https://docs.google.com/document/d/1qI46K9RcL-XhqR0WQyoWr-GnWxzxtRnZCez9oonCvEc/edit?usp=drivesdk</t>
  </si>
  <si>
    <t>B4- RESIDÊNCIA TERAPÊUTICA EGRESSOS</t>
  </si>
  <si>
    <t>BOLETIM_RADIO_TJRN_30_03_2026_B4_RESIDENCIA_TERAPEUTICA_EGRESSOS</t>
  </si>
  <si>
    <t>https://docs.google.com/document/d/1l1efZ95-Y7fXKXdAAnkjgMs85vGEq_dVhVQZ2DzilUw/edit?usp=drivesdk</t>
  </si>
  <si>
    <t>B3- ÍNDICES ESTRATÉGICOS 2025</t>
  </si>
  <si>
    <t>BOLETIM_RADIO_TJRN_30_03_2026_B3_INDICES_ESTRATEGICOS_2025</t>
  </si>
  <si>
    <t>https://docs.google.com/document/d/1uMb52fCg2LXgUzrTq83OPCC_nX41zGYqQyZHIAoiYq4/edit?usp=drivesdk</t>
  </si>
  <si>
    <t>B2- GMF EM AÇÃO PAU DOS FERROS</t>
  </si>
  <si>
    <t>BOLETIM_RADIO_TJRN_30_03_2026_B2_GMF_EM_ACAO_PAU_DOS_FERROS</t>
  </si>
  <si>
    <t>https://docs.google.com/document/d/1bm58nNTCe94mXFaTE6Q866Jd6TFA00KxZzr4jkGgjMk/edit?usp=drivesdk</t>
  </si>
  <si>
    <t>B1- DANOS MORAIS NOME NEGATIVADO</t>
  </si>
  <si>
    <t>BOLETIM_RADIO_TJRN_30_03_2026_B1_DANOS_MORAIS_NOME_NEGATIVADO</t>
  </si>
  <si>
    <t>https://docs.google.com/document/d/1wXR8CTsAKWy7N2rDOe4i4IFcD_8aszM-gbElpYYvvYI/edit?usp=drivesdk</t>
  </si>
  <si>
    <t xml:space="preserve">B10- FALHAS SERVIÇO TELEFONIA </t>
  </si>
  <si>
    <t>BOLETIM_RADIO_TJRN_27_03_2026_B10_FALHAS_SERVICO_TELEFONIA_</t>
  </si>
  <si>
    <t>https://docs.google.com/document/d/1LdHz_WJE5Wf4oDs-P35_HV1gm9MKK8DobcPj8KLoMCg/edit?usp=drivesdk</t>
  </si>
  <si>
    <t xml:space="preserve">B9- TJRN CORTE INDEVIDO DE ENERGIA </t>
  </si>
  <si>
    <t>BOLETIM_RADIO_TJRN_27_03_2026_B9_TJRN_CORTE_INDEVIDO_DE_ENERGIA_</t>
  </si>
  <si>
    <t>https://docs.google.com/document/d/1Eq8hiO8_Hwr1BNWBTexze3TJd0371zA6gzanSzAtAP8/edit?usp=drivesdk</t>
  </si>
  <si>
    <t xml:space="preserve">B8- TJRN TURMA RECURSAL INSALUBRIDADE SAMU </t>
  </si>
  <si>
    <t>BOLETIM_RADIO_TJRN_27_03_2026_B8_TJRN_TURMA_RECURSAL_INSALUBRIDADE_SAMU_</t>
  </si>
  <si>
    <t>https://docs.google.com/document/d/1tIPKpQTfkefKCwRzymwyHEgrEJ6kwGN4uxfjLpkRw6U/edit?usp=drivesdk</t>
  </si>
  <si>
    <t xml:space="preserve">B7- TJRN REDE SOCIAL CONDENADA INDENIZAÇÃO </t>
  </si>
  <si>
    <t>BOLETIM_RADIO_TJRN_27_03_2026_B7_TJRN_REDE_SOCIAL_CONDENADA_INDENIZACAO_</t>
  </si>
  <si>
    <t>https://docs.google.com/document/d/1O9nMMDyzvZnqj6V4GeeYLeiPg_lIWKrXdwoZxFe95Jc/edit?usp=drivesdk</t>
  </si>
  <si>
    <t xml:space="preserve">B6- TJRN CONSUMIDORA RECEBERÁ INDENIZAÇÃO </t>
  </si>
  <si>
    <t>BOLETIM_RADIO_TJRN_27_03_2026_B6_TJRN_CONSUMIDORA_RECEBERA_INDENIZACAO_</t>
  </si>
  <si>
    <t>https://docs.google.com/document/d/1vE6oqMb3IPjVXtOZmsxhzLXlBZvdaUdp40PM9wRopLk/edit?usp=drivesdk</t>
  </si>
  <si>
    <t xml:space="preserve">B5- TJRN DETERMINA ESTADO NOMEIE APROVADOS </t>
  </si>
  <si>
    <t>BOLETIM_RADIO_TJRN_27_03_2026_B5_TJRN_DETERMINA_ESTADO_NOMEIE_APROVADOS_</t>
  </si>
  <si>
    <t>https://docs.google.com/document/d/1RmI9Y_Be50ya4lRGMmRulclJuo9zpdxXfmJJ62CFSHs/edit?usp=drivesdk</t>
  </si>
  <si>
    <t xml:space="preserve">B4- TJRN OFICINAS ENTREGA VOLUNTÁRIA </t>
  </si>
  <si>
    <t>BOLETIM_RADIO_TJRN_27_03_2026_B4_TJRN_OFICINAS_ENTREGA_VOLUNTARIA_</t>
  </si>
  <si>
    <t>https://docs.google.com/document/d/1ohSKikERoqyoQABs-wnKqTTWHLv6gfHQK12zwVFLueg/edit?usp=drivesdk</t>
  </si>
  <si>
    <t xml:space="preserve">B3- TJRN CAFE DA MANHA OFICIAL JUSTIÇA </t>
  </si>
  <si>
    <t>BOLETIM_RADIO_TJRN_27_03_2026_B3_TJRN_CAFE_DA_MANHA_OFICIAL_JUSTICA_</t>
  </si>
  <si>
    <t>https://docs.google.com/document/d/18gHiWrxitBa9mbdX9Up-j3wbDqCUNZ69XU3Yy4do4ac/edit?usp=drivesdk</t>
  </si>
  <si>
    <t xml:space="preserve">B2- TJRN VARA CRIMINAL RESULTADO SELEÇÃO </t>
  </si>
  <si>
    <t>BOLETIM_RADIO_TJRN_27_03_2026_B2_TJRN_VARA_CRIMINAL_RESULTADO_SELECAO_</t>
  </si>
  <si>
    <t>https://docs.google.com/document/d/1rdvyDmAomMVnGtc8dNCiXqnehL-SIqxxaWcPlpxO1Ns/edit?usp=drivesdk</t>
  </si>
  <si>
    <t xml:space="preserve">B1- TJRN ESTADO DEVE CONCEDER NOVO PRAZO APROVADO </t>
  </si>
  <si>
    <t>BOLETIM_RADIO_TJRN_27_03_2026_B1_TJRN_ESTADO_DEVE_CONCEDER_NOVO_PRAZO_APROVADO_</t>
  </si>
  <si>
    <t>https://docs.google.com/document/d/1LggOS2uya7OahvC2a132xiTKV7VF6qU3QzT5PGEv-VI/edit?usp=drivesdk</t>
  </si>
  <si>
    <t xml:space="preserve">B10- TRT/RN VARA NEGA DANOS MORAIS </t>
  </si>
  <si>
    <t>BOLETIM_RADIO_TJRN_26_03_2026_B10_TRTRN_VARA_NEGA_DANOS_MORAIS_</t>
  </si>
  <si>
    <t>https://docs.google.com/document/d/10fCg1Bfv9p5bapxVhCimOS6X3OwHfgH5vkZnUyHbCls/edit?usp=drivesdk</t>
  </si>
  <si>
    <t xml:space="preserve">B9- TJRN PARNAMIRIM DEVE APRESENTAR PLANO CAPS </t>
  </si>
  <si>
    <t>BOLETIM_RADIO_TJRN_26_03_2026_B9_TJRN_PARNAMIRIM_DEVE_APRESENTAR_PLANO_CAPS_</t>
  </si>
  <si>
    <t>https://docs.google.com/document/d/1F90vOCtdIUqkGcpE8ccwD0_ZBMOscwjntCRNi0xDvi4/edit?usp=drivesdk</t>
  </si>
  <si>
    <t xml:space="preserve">B8- TJRN SENTENÇA DETERMINA REPARAÇÃO DEFEITOS </t>
  </si>
  <si>
    <t>BOLETIM_RADIO_TJRN_26_03_2026_B8_TJRN_SENTENCA_DETERMINA_REPARACAO_DEFEITOS_</t>
  </si>
  <si>
    <t>https://docs.google.com/document/d/1uwpczWrmE1cLMIu0Q7ldXg9O5BXxgYpPlleUU58VkWw/edit?usp=drivesdk</t>
  </si>
  <si>
    <t xml:space="preserve">B7- TJRN REMIÇÃO PENA POR ESTUDO </t>
  </si>
  <si>
    <t>BOLETIM_RADIO_TJRN_26_03_2026_B7_TJRN_REMICAO_PENA_POR_ESTUDO_</t>
  </si>
  <si>
    <t>https://docs.google.com/document/d/1L9lBFyFB7M0sObKTrgrdXaymG5Jvhzal4sDxde1EuCo/edit?usp=drivesdk</t>
  </si>
  <si>
    <t xml:space="preserve">B6- TJRN NEGA AÇÃO IMPROBIDADE CONTRATAÇÃO </t>
  </si>
  <si>
    <t>BOLETIM_RADIO_TJRN_26_03_2026_B6_TJRN_NEGA_ACAO_IMPROBIDADE_CONTRATACAO_</t>
  </si>
  <si>
    <t>https://docs.google.com/document/d/1s7JSW_lYkGhz6zn_izJ0FAH1l9llPeSaQe9ijhRa1bY/edit?usp=drivesdk</t>
  </si>
  <si>
    <t xml:space="preserve">B5- TJRN EMPRESA HOME CARE CONDENADA </t>
  </si>
  <si>
    <t>BOLETIM_RADIO_TJRN_26_03_2026_B5_TJRN_EMPRESA_HOME_CARE_CONDENADA_</t>
  </si>
  <si>
    <t>https://docs.google.com/document/d/1OMDhG6VACBWHpzX_-ADqkm0yDhkP4eI7soiYIrBNzT0/edit?usp=drivesdk</t>
  </si>
  <si>
    <t xml:space="preserve">B4- TJRN EMPRESA ENERGIA SOLAR CONDENADA </t>
  </si>
  <si>
    <t>BOLETIM_RADIO_TJRN_26_03_2026_B4_TJRN_EMPRESA_ENERGIA_SOLAR_CONDENADA_</t>
  </si>
  <si>
    <t>https://docs.google.com/document/d/1Fhx7JsGt5dhWThWv5Vh6vkxnfPzjr79Q8CZapwI4mXY/edit?usp=drivesdk</t>
  </si>
  <si>
    <t xml:space="preserve">B3- TJRN GARANTE ABANDONO PERMANÊNCIA RETROATIVO </t>
  </si>
  <si>
    <t>BOLETIM_RADIO_TJRN_26_03_2026_B3_TJRN_GARANTE_ABANDONO_PERMANENCIA_RETROATIVO_</t>
  </si>
  <si>
    <t>https://docs.google.com/document/d/1X89-dUCyUbXRQAD7ulCW8WwjQMWA9woDEDyCQ2KQZj8/edit?usp=drivesdk</t>
  </si>
  <si>
    <t>B2- TJRN INAUGURA PLATAFORMA ACESSIBILIDADE</t>
  </si>
  <si>
    <t>BOLETIM_RADIO_TJRN_26_03_2026_B2_TJRN_INAUGURA_PLATAFORMA_ACESSIBILIDADE</t>
  </si>
  <si>
    <t>https://docs.google.com/document/d/1hO9jY3wBOoWI-kRgWalYLUChSuwALTtXemm-mvPBIqk/edit?usp=drivesdk</t>
  </si>
  <si>
    <t>B1- TJRN CANGUARETAMA SELEÇÃO INTERINO</t>
  </si>
  <si>
    <t>BOLETIM_RADIO_TJRN_26_03_2026_B1_TJRN_CANGUARETAMA_SELECAO_INTERINO</t>
  </si>
  <si>
    <t>https://docs.google.com/document/d/1OPWhwxdJgiEP3tL5fMr8Gj5Q4jqcmbLKFuSVLTIqdrg/edit?usp=drivesdk</t>
  </si>
  <si>
    <t xml:space="preserve">B10- MPRN COMBATE REDE TRÁFICO </t>
  </si>
  <si>
    <t>BOLETIM_RADIO_TJRN_25_03_2026_B10_MPRN_COMBATE_REDE_TRAFICO_</t>
  </si>
  <si>
    <t>https://docs.google.com/document/d/1fxfmtHF_KCDpJSLYf8TK_Al3k219l8SnHu8YUIdwVVg/edit?usp=drivesdk</t>
  </si>
  <si>
    <t xml:space="preserve">B9- OAB/RB CAMPANHA VACINAÇÃO </t>
  </si>
  <si>
    <t>BOLETIM_RADIO_TJRN_25_03_2026_B9_OABRB_CAMPANHA_VACINACAO_</t>
  </si>
  <si>
    <t>https://docs.google.com/document/d/1RnNGhUAzYgZQe7y9-4aK-Ik0H-lhoroQvh6tybIRW0Q/edit?usp=drivesdk</t>
  </si>
  <si>
    <t>B8- TJRN ASSEGURA CIRURGIA ALTA COMPLEXIDADE</t>
  </si>
  <si>
    <t>BOLETIM_RADIO_TJRN_25_03_2026_B8_TJRN_ASSEGURA_CIRURGIA_ALTA_COMPLEXIDADE</t>
  </si>
  <si>
    <t>https://docs.google.com/document/d/1ywVcLb1a6lAsiHlObLXKmrvbSA88yiepIlEEol-qEAw/edit?usp=drivesdk</t>
  </si>
  <si>
    <t xml:space="preserve">B7- TJRN OPERADORA CELULAR ENVIO EXCESSIVO </t>
  </si>
  <si>
    <t>BOLETIM_RADIO_TJRN_25_03_2026_B7_TJRN_OPERADORA_CELULAR_ENVIO_EXCESSIVO_</t>
  </si>
  <si>
    <t>https://docs.google.com/document/d/1wE6D0iNH1YPzeAJG3npYBqM4jRSXN3jR79Ww5BdKQEg/edit?usp=drivesdk</t>
  </si>
  <si>
    <t xml:space="preserve">B6- TJRN EMPRESA TELEFONIA CONDENADA  </t>
  </si>
  <si>
    <t>BOLETIM_RADIO_TJRN_25_03_2026_B6_TJRN_EMPRESA_TELEFONIA_CONDENADA_</t>
  </si>
  <si>
    <t>https://docs.google.com/document/d/1YfCF90Xz_5NgeI4zpsEhcszY5KaUIvW8AvNwfzSPQ0c/edit?usp=drivesdk</t>
  </si>
  <si>
    <t xml:space="preserve">B5- TJRN RECONHECE FALHA PLATAFORMA JOGOS </t>
  </si>
  <si>
    <t>BOLETIM_RADIO_TJRN_25_03_2026_B5_TJRN_RECONHECE_FALHA_PLATAFORMA_JOGOS_</t>
  </si>
  <si>
    <t>https://docs.google.com/document/d/1tcnslenzAlw7mFTJ1Xi7zgqrQ0qkOGM0GJMTRQhpsfU/edit?usp=drivesdk</t>
  </si>
  <si>
    <t xml:space="preserve">B4- TJRN AFASTA RESPONSABILIDADE BANCO GOLPE </t>
  </si>
  <si>
    <t>BOLETIM_RADIO_TJRN_25_03_2026_B4_TJRN_AFASTA_RESPONSABILIDADE_BANCO_GOLPE_</t>
  </si>
  <si>
    <t>https://docs.google.com/document/d/14BdE8SdsVTD1lyoRvQTfMVwPNQh24aNViRIIWOy17vc/edit?usp=drivesdk</t>
  </si>
  <si>
    <t xml:space="preserve">B3-TJRN CLIENTE INDENIZADO COMPRA CANCELADA </t>
  </si>
  <si>
    <t>BOLETIM_RADIO_TJRN_25_03_2026_B3_TJRN_CLIENTE_INDENIZADO_COMPRA_CANCELADA_</t>
  </si>
  <si>
    <t>https://docs.google.com/document/d/16jsfNaqP_vj9LxXe8bxjpgZjdDE5wsnkRi1LDOI1aE4/edit?usp=drivesdk</t>
  </si>
  <si>
    <t xml:space="preserve">B2- TJRN SUSPENDE LICITAÇÃO PREGÃO </t>
  </si>
  <si>
    <t>BOLETIM_RADIO_TJRN_25_03_2026_B2_TJRN_SUSPENDE_LICITACAO_PREGAO_</t>
  </si>
  <si>
    <t>https://docs.google.com/document/d/1QRj33RDrr31T7ACZAkiepaGx503R4T95LUkcJFfAn2o/edit?usp=drivesdk</t>
  </si>
  <si>
    <t xml:space="preserve">B1- TJRN CURSO SEGURANÇA INSTITUCIONAL </t>
  </si>
  <si>
    <t>BOLETIM_RADIO_TJRN_25_03_2026_B1_TJRN_CURSO_SEGURANCA_INSTITUCIONAL_</t>
  </si>
  <si>
    <t>https://docs.google.com/document/d/1aeTR-RkYd4M-16BdzMWiF_S3lwQYl5WtC_8_7PJzcgs/edit?usp=drivesdk</t>
  </si>
  <si>
    <t xml:space="preserve">B10- MPRN ORIENTA PREFEITOS GASTOS JUNINOS </t>
  </si>
  <si>
    <t>BOLETIM_RADIO_TJRN_24_03_2026_B10_MPRN_ORIENTA_PREFEITOS_GASTOS_JUNINOS_</t>
  </si>
  <si>
    <t>https://docs.google.com/document/d/17sVvGPzC5JHoZ86C8yNgGYYUCJr5YM3MhRK_3tgg4Zk/edit?usp=drivesdk</t>
  </si>
  <si>
    <t xml:space="preserve">B9- DPERN BLOQUEIO VERBAS </t>
  </si>
  <si>
    <t>BOLETIM_RADIO_TJRN_24_03_2026_B9_DPERN_BLOQUEIO_VERBAS_</t>
  </si>
  <si>
    <t>https://docs.google.com/document/d/1GnEOrifDV2Lj6wF__QMZYJcxe3fh33VDbr0PjbK26qU/edit?usp=drivesdk</t>
  </si>
  <si>
    <t xml:space="preserve">B8- TJRN PARELHAS PROJETOS PRESTAÇÕES PECUNIÁRIAS </t>
  </si>
  <si>
    <t>BOLETIM_RADIO_TJRN_24_03_2026_B8_TJRN_PARELHAS_PROJETOS_PRESTACOES_PECUNIARIAS_</t>
  </si>
  <si>
    <t>https://docs.google.com/document/d/1xVWIf2zEFxQZGYAgsbPjnUqhMI8emZuGDgGLhX-Q3NI/edit?usp=drivesdk</t>
  </si>
  <si>
    <t xml:space="preserve">B7- TJRN COMPANHIA AÉREA CONDENADA OVERBOOKING </t>
  </si>
  <si>
    <t>BOLETIM_RADIO_TJRN_24_03_2026_B7_TJRN_COMPANHIA_AEREA_CONDENADA_OVERBOOKING_</t>
  </si>
  <si>
    <t>https://docs.google.com/document/d/1zIeY8YSRt_4nW9pYI4SK-cGtOkD-5t_zk_u1ThirGus/edit?usp=drivesdk</t>
  </si>
  <si>
    <t>B6- TJRN EMPRESA CONDENADA NEGATIVAÇÃO INDEVIDA</t>
  </si>
  <si>
    <t>BOLETIM_RADIO_TJRN_24_03_2026_B6_TJRN_EMPRESA_CONDENADA_NEGATIVACAO_INDEVIDA</t>
  </si>
  <si>
    <t>https://docs.google.com/document/d/18Is8kib9gMardz2eBMKlID9vkuLMTyl8s8QEQaNLncE/edit?usp=drivesdk</t>
  </si>
  <si>
    <t>B5- TJRN CUMPRIMENTO IMEDIATO  E MULTA</t>
  </si>
  <si>
    <t>BOLETIM_RADIO_TJRN_24_03_2026_B5_TJRN_CUMPRIMENTO_IMEDIATO_E_MULTA</t>
  </si>
  <si>
    <t>https://docs.google.com/document/d/1jvWKNKqf8fhII4RbpFnN3cdFf4bfx5WKCGMfhFyZ5wI/edit?usp=drivesdk</t>
  </si>
  <si>
    <t xml:space="preserve">B4- TJRN COLISÃO CAMINHÃO ENTULHOS </t>
  </si>
  <si>
    <t>BOLETIM_RADIO_TJRN_24_03_2026_B4_TJRN_COLISAO_CAMINHAO_ENTULHOS_</t>
  </si>
  <si>
    <t>https://docs.google.com/document/d/1KCB42EP3sMFEincCP-2Xt-oCAq7GU3lBG33Ob_vfVz4/edit?usp=drivesdk</t>
  </si>
  <si>
    <t>B3- TJRN ATRASO REEMBOLSO</t>
  </si>
  <si>
    <t>BOLETIM_RADIO_TJRN_24_03_2026_B3_TJRN_ATRASO_REEMBOLSO</t>
  </si>
  <si>
    <t>https://docs.google.com/document/d/1SUh7eIDdHc1LF6l5w7-96I52ogGgSTzWrRntcjFwuM0/edit?usp=drivesdk</t>
  </si>
  <si>
    <t xml:space="preserve">B2- TJRN SERRA MEL CONVOCAÇÃO CANDIDATO </t>
  </si>
  <si>
    <t>BOLETIM_RADIO_TJRN_24_03_2026_B2_TJRN_SERRA_MEL_CONVOCACAO_CANDIDATO_</t>
  </si>
  <si>
    <t>https://docs.google.com/document/d/14WnAj6Ou_AEtBO625E3lo9hhxuf57kS_io4uOwj8Vcs/edit?usp=drivesdk</t>
  </si>
  <si>
    <t>B1- TJRN PLANO SAÚDE NEGA TRATAMENTO</t>
  </si>
  <si>
    <t>BOLETIM_RADIO_TJRN_24_03_2026_B1_TJRN_PLANO_SAUDE_NEGA_TRATAMENTO</t>
  </si>
  <si>
    <t>https://docs.google.com/document/d/1wPhf2z8R5HOkzvXWYwx3D6EgZLnx2EtZiQyEMuoCcos/edit?usp=drivesdk</t>
  </si>
  <si>
    <t>B10- TRATAMENTO DOMICILIAR CRIANÇA</t>
  </si>
  <si>
    <t>BOLETIM_RADIO_TJRN_23_03_2026_B10_TRATAMENTO_DOMICILIAR_CRIANCA</t>
  </si>
  <si>
    <t>https://docs.google.com/document/d/1pr0Tic_zMfG1y9tGm8fFKmOPUH851wROIcddyHBc8DU/edit?usp=drivesdk</t>
  </si>
  <si>
    <t>B9- CAPACITAÇÃO ESCUTA PROTEGIDA</t>
  </si>
  <si>
    <t>BOLETIM_RADIO_TJRN_23_03_2026_B9_CAPACITACAO_ESCUTA_PROTEGIDA</t>
  </si>
  <si>
    <t>https://docs.google.com/document/d/1AXyh-D27RbgoyV-ulcT5YB4SxlPuVmMuHWMQCmCxVg8/edit?usp=drivesdk</t>
  </si>
  <si>
    <t>B8- MUTIRÃO EFICIÊNCIA PJE</t>
  </si>
  <si>
    <t>BOLETIM_RADIO_TJRN_23_03_2026_B8_MUTIRAO_EFICIENCIA_PJE</t>
  </si>
  <si>
    <t>https://docs.google.com/document/d/1oHGgf1-gSZn-LvQsW1MlJPJFKVB2F5liMPGspPO2l7g/edit?usp=drivesdk</t>
  </si>
  <si>
    <t>B7- DEVOLUÇÃO MILHAS</t>
  </si>
  <si>
    <t>BOLETIM_RADIO_TJRN_23_03_2026_B7_DEVOLUCAO_MILHAS</t>
  </si>
  <si>
    <t>https://docs.google.com/document/d/1VOO6XMmxPztY6KhGVqQRF2ROUayO3X4-ePG9Orv3gDY/edit?usp=drivesdk</t>
  </si>
  <si>
    <t>B6- CANCELAMENTO ABUSIVO PASSAGEM</t>
  </si>
  <si>
    <t>BOLETIM_RADIO_TJRN_23_03_2026_B6_CANCELAMENTO_ABUSIVO_PASSAGEM</t>
  </si>
  <si>
    <t>https://docs.google.com/document/d/1QytXdUcnbpfg7gYex_5QAKFU2V9jsHg1ouiFFrVs7dA/edit?usp=drivesdk</t>
  </si>
  <si>
    <t>B5- INTERNAÇÃO PENDÊNCIAS</t>
  </si>
  <si>
    <t>BOLETIM_RADIO_TJRN_23_03_2026_B5_INTERNACAO_PENDENCIAS</t>
  </si>
  <si>
    <t>https://docs.google.com/document/d/1IdP4yCHBzwtIeB5FhW8KC1KPBKHlxLL6aYLyL9rqpvM/edit?usp=drivesdk</t>
  </si>
  <si>
    <t>B4- NEGADA REVISÃO MEDIDAS PROTETIVAS</t>
  </si>
  <si>
    <t>BOLETIM_RADIO_TJRN_23_03_2026_B4_NEGADA_REVISAO_MEDIDAS_PROTETIVAS</t>
  </si>
  <si>
    <t>https://docs.google.com/document/d/1ljhZLpyrpR5oulXvSL45Fru-886Nm4LAJbqMTWw-j54/edit?usp=drivesdk</t>
  </si>
  <si>
    <t>B3- AULA INAUGURAL DOUTORADO ESMARN</t>
  </si>
  <si>
    <t>BOLETIM_RADIO_TJRN_23_03_2026_B3_AULA_INAUGURAL_DOUTORADO_ESMARN</t>
  </si>
  <si>
    <t>https://docs.google.com/document/d/1v8OKxp0JNZ--p3AYGCpL5uWUfPjZwRtevaR-D6Mm088/edit?usp=drivesdk</t>
  </si>
  <si>
    <t>B2- SUSPENSÃO EVENTOS PRAIA MIAMI</t>
  </si>
  <si>
    <t>BOLETIM_RADIO_TJRN_23_03_2026_B2_SUSPENSAO_EVENTOS_PRAIA_MIAMI</t>
  </si>
  <si>
    <t>https://docs.google.com/document/d/1IhqkkTBA-YmeRA5qfqz-RKPFfEzgbGyIG8btZENtoK8/edit?usp=drivesdk</t>
  </si>
  <si>
    <t>B1- RESSARCIMENTO CUSTOS FISIOTERAPIA</t>
  </si>
  <si>
    <t>BOLETIM_RADIO_TJRN_23_03_2026_B1_RESSARCIMENTO_CUSTOS_FISIOTERAPIA</t>
  </si>
  <si>
    <t>https://docs.google.com/document/d/12R6yyJY7dUCqeExP34iBKnQ93T7LDx59rgCJebeCwCA/edit?usp=drivesdk</t>
  </si>
  <si>
    <t xml:space="preserve">B10- CNJ DENUNCIAS GOLPES FALSO ADVOGADO </t>
  </si>
  <si>
    <t>BOLETIM_RADIO_TJRN_20_03_2026_B10_CNJ_DENUNCIAS_GOLPES_FALSO_ADVOGADO_</t>
  </si>
  <si>
    <t>https://docs.google.com/document/d/1WCG8pznu_RJFXr01fvQidqhhs8MM8GSXoZbhTdQStPc/edit?usp=drivesdk</t>
  </si>
  <si>
    <t xml:space="preserve">B9- MPRN CONDENAÇÃO EMPRESA MEDICAMENTOS </t>
  </si>
  <si>
    <t>BOLETIM_RADIO_TJRN_20_03_2026_B9_MPRN_CONDENACAO_EMPRESA_MEDICAMENTOS_</t>
  </si>
  <si>
    <t>https://docs.google.com/document/d/1QuDJcCTeUoMn6RRcF86lPV-md1Pfoqg3Nd5y6tJl9iI/edit?usp=drivesdk</t>
  </si>
  <si>
    <t xml:space="preserve">B8- OAB/RN TIPIFICA CRIME FALSO ADVOGADO </t>
  </si>
  <si>
    <t>BOLETIM_RADIO_TJRN_20_03_2026_B8_OABRN_TIPIFICA_CRIME_FALSO_ADVOGADO_</t>
  </si>
  <si>
    <t>https://docs.google.com/document/d/1XxKMIgMO07a0P22cqjAwdDQdyOFr-nM7yCSmTdqkQD8/edit?usp=drivesdk</t>
  </si>
  <si>
    <t>B7- TJRN ENCONTRO MULHERES JUSTIÇA</t>
  </si>
  <si>
    <t>BOLETIM_RADIO_TJRN_20_03_2026_B7_TJRN_ENCONTRO_MULHERES_JUSTICA</t>
  </si>
  <si>
    <t>https://docs.google.com/document/d/1PBHcxAJY7hqoY8r8GKKf7znW7TYJR9pOjNT3z75rsHU/edit?usp=drivesdk</t>
  </si>
  <si>
    <t>B6- TJRN NEGA MANDADO SEGURANÇA EMPRESA</t>
  </si>
  <si>
    <t>BOLETIM_RADIO_TJRN_20_03_2026_B6_TJRN_NEGA_MANDADO_SEGURANCA_EMPRESA</t>
  </si>
  <si>
    <t>https://docs.google.com/document/d/1BPX6xDnhKQkWi39vRBZpPbsoHontKKoy81ju6zuc4wk/edit?usp=drivesdk</t>
  </si>
  <si>
    <t xml:space="preserve">B5- TJRN EMPRESA VAREJO ONLINE DANO MORAL </t>
  </si>
  <si>
    <t>BOLETIM_RADIO_TJRN_20_03_2026_B5_TJRN_EMPRESA_VAREJO_ONLINE_DANO_MORAL_</t>
  </si>
  <si>
    <t>https://docs.google.com/document/d/1d6uhy7mzj8rs208t3xvY3tVt5Ys-3T6s9q5bDd_SkaE/edit?usp=drivesdk</t>
  </si>
  <si>
    <t xml:space="preserve">B4- TJRN PLANO SAÚDE CONDENADO </t>
  </si>
  <si>
    <t>BOLETIM_RADIO_TJRN_20_03_2026_B4_TJRN_PLANO_SAUDE_CONDENADO_</t>
  </si>
  <si>
    <t>https://docs.google.com/document/d/1ugbW6OK1tSpaEIetchv_ESj7YLyJ53vhMyrxU3nVGjs/edit?usp=drivesdk</t>
  </si>
  <si>
    <t xml:space="preserve">B3- TJRN REALIZAR CIRURGIA OMBRO </t>
  </si>
  <si>
    <t>BOLETIM_RADIO_TJRN_20_03_2026_B3_TJRN_REALIZAR_CIRURGIA_OMBRO_</t>
  </si>
  <si>
    <t>https://docs.google.com/document/d/16bBViWDO8RMRRu4IGf_AVeDBsdUWx-HVWP0Mv9cZV6s/edit?usp=drivesdk</t>
  </si>
  <si>
    <t xml:space="preserve">B2- TJRN SERVIDOR PÚBLICO REENQUADRAMENTO </t>
  </si>
  <si>
    <t>BOLETIM_RADIO_TJRN_20_03_2026_B2_TJRN_SERVIDOR_PUBLICO_REENQUADRAMENTO_</t>
  </si>
  <si>
    <t>https://docs.google.com/document/d/1aqCfbeXnXuMLvVgrNmWnAorbtoQG6vdVI8ZGFcmOwlQ/edit?usp=drivesdk</t>
  </si>
  <si>
    <t xml:space="preserve">B1- TJRN DECISÃO PLANO SAÚDE </t>
  </si>
  <si>
    <t>BOLETIM_RADIO_TJRN_20_03_2026_B1_TJRN_DECISAO_PLANO_SAUDE_</t>
  </si>
  <si>
    <t>https://docs.google.com/document/d/1LeyQGYRgBlu6-9Gb2vScV3Juc8h6w0kQTVO4lTBQVsE/edit?usp=drivesdk</t>
  </si>
  <si>
    <t>B10- DECISÃO PENA JUSTA</t>
  </si>
  <si>
    <t>BOLETIM_RADIO_TJRN_19_03_2026_B10_DECISAO_PENA_JUSTA</t>
  </si>
  <si>
    <t>https://docs.google.com/document/d/17Bj8hAbNFYxOWr26fWLZrSBkAOiEi1w0sjNB6G_VIe8/edit?usp=drivesdk</t>
  </si>
  <si>
    <t>B9- ENCONTRO OUVIDORES JUDICIAIS</t>
  </si>
  <si>
    <t>BOLETIM_RADIO_TJRN_19_03_2026_B9_ENCONTRO_OUVIDORES_JUDICIAIS</t>
  </si>
  <si>
    <t>https://docs.google.com/document/d/1yUR3-AM5h17_vE96oriKuBq7cQyp2O8u2dFp-3_d-6s/edit?usp=drivesdk</t>
  </si>
  <si>
    <t>B8- VISITA MAGISTRADOS PARAÍBA</t>
  </si>
  <si>
    <t>BOLETIM_RADIO_TJRN_19_03_2026_B8_VISITA_MAGISTRADOS_PARAIBA</t>
  </si>
  <si>
    <t>https://docs.google.com/document/d/1hFXw-ZK3yGx3OS2sE8TOIDavr51Di3sUe_ZmLCFU8Ig/edit?usp=drivesdk</t>
  </si>
  <si>
    <t>B7- APOIO FAMÍLIAS AFETADAS LAGOA CAPTAÇÃO</t>
  </si>
  <si>
    <t>BOLETIM_RADIO_TJRN_19_03_2026_B7_APOIO_FAMILIAS_AFETADAS_LAGOA_CAPTACAO</t>
  </si>
  <si>
    <t>https://docs.google.com/document/d/1UljSGq_S7F62_cC0W3dYABDKVbjd53qen-R5qT7iD8I/edit?usp=drivesdk</t>
  </si>
  <si>
    <t>B6- HOMENAGEM DESEMBARGADOR AMAURY</t>
  </si>
  <si>
    <t>BOLETIM_RADIO_TJRN_19_03_2026_B6_HOMENAGEM_DESEMBARGADOR_AMAURY</t>
  </si>
  <si>
    <t>https://docs.google.com/document/d/1jc0L--XAgyvsBsQxhsavoZNcD1zNBWm93Z9Jdmpg1kY/edit?usp=drivesdk</t>
  </si>
  <si>
    <t>B5- ESTÁGIO JUIZADOS ESPECIAIS</t>
  </si>
  <si>
    <t>BOLETIM_RADIO_TJRN_19_03_2026_B5_ESTAGIO_JUIZADOS_ESPECIAIS</t>
  </si>
  <si>
    <t>https://docs.google.com/document/d/1cLFCz6unHb1XBYRRSHMR3nSQ3paD_Zvo63EZT7prDJA/edit?usp=drivesdk</t>
  </si>
  <si>
    <t>B4- SUBSTITUIÇÃO PORTA-VEÍCULOS</t>
  </si>
  <si>
    <t>BOLETIM_RADIO_TJRN_19_03_2026_B4_SUBSTITUICAO_PORTA_VEICULOS</t>
  </si>
  <si>
    <t>https://docs.google.com/document/d/13ax35l2EBp_onT2n3BeAmftwt-olb7qy9CZXKqr9CK8/edit?usp=drivesdk</t>
  </si>
  <si>
    <t>B3- CONDENAÇÃO FACULDADE ENCERRAMENTO ATIVIDADES</t>
  </si>
  <si>
    <t>BOLETIM_RADIO_TJRN_19_03_2026_B3_CONDENACAO_FACULDADE_ENCERRAMENTO_ATIVIDADES</t>
  </si>
  <si>
    <t>https://docs.google.com/document/d/1P4kDbDQhFENvURX2DPNW-3GEVEX71smoXK9wVBEzdRk/edit?usp=drivesdk</t>
  </si>
  <si>
    <t>B2- SUSPENSÃO ICMS ENERGIA SOLAR</t>
  </si>
  <si>
    <t>BOLETIM_RADIO_TJRN_19_03_2026_B2_SUSPENSAO_ICMS_ENERGIA_SOLAR</t>
  </si>
  <si>
    <t>https://docs.google.com/document/d/1569OuV8HS3aA-0of2t1R_5BMpD2CRKzXPUi8C1ag64Q/edit?usp=drivesdk</t>
  </si>
  <si>
    <t>B1- AMPLIAÇÃO PROTECÇÃO VIOLÊNCIA DOMÉSTICA</t>
  </si>
  <si>
    <t>BOLETIM_RADIO_TJRN_19_03_2026_B1_AMPLIACAO_PROTECCAO_VIOLENCIA_DOMESTICA</t>
  </si>
  <si>
    <t>https://docs.google.com/document/d/1Sydu5NRnCGt4X3fkUr_F0mIs6abTZcO8kONFZ9QdzMw/edit?usp=drivesdk</t>
  </si>
  <si>
    <t>B10- FALHA CONSTRUÇÃO TERRENO</t>
  </si>
  <si>
    <t>BOLETIM_RADIO_TJRN_18_03_2026_B10_FALHA_CONSTRUCAO_TERRENO</t>
  </si>
  <si>
    <t>https://docs.google.com/document/d/1rBP_V42HaFQ5_6O0vB4qO8Uq3DwHZyBK2zw_IuOGsgo/edit?usp=drivesdk</t>
  </si>
  <si>
    <t>B9- CONDENAÇÃO PREJUÍZOS COLISÃO</t>
  </si>
  <si>
    <t>BOLETIM_RADIO_TJRN_18_03_2026_B9_CONDENACAO_PREJUIZOS_COLISAO</t>
  </si>
  <si>
    <t>https://docs.google.com/document/d/1lZ8SZkqTuGmONy5Nh_W3rrUj2Yr0ozOvwmrqjrb9QxQ/edit?usp=drivesdk</t>
  </si>
  <si>
    <t>B8- TJRN OBSERVATÓRIO PRISIONAL</t>
  </si>
  <si>
    <t>BOLETIM_RADIO_TJRN_18_03_2026_B8_TJRN_OBSERVATORIO_PRISIONAL</t>
  </si>
  <si>
    <t>https://docs.google.com/document/d/19b9dj1P8VmvjLR7Dn1Adb3YqwbRGvTGswhzKEMRYvh0/edit?usp=drivesdk</t>
  </si>
  <si>
    <t xml:space="preserve">B7- TRT/RN CONVÊNIO PREFEITURAS </t>
  </si>
  <si>
    <t>BOLETIM_RADIO_TJRN_18_03_2026_B7_TRTRN_CONVENIO_PREFEITURAS_</t>
  </si>
  <si>
    <t>https://docs.google.com/document/d/1QX3_1Ww_7gUv3ucoqEz7AeX1cQH4JgOdxvahsj49Xn0/edit?usp=drivesdk</t>
  </si>
  <si>
    <t xml:space="preserve">B6- TJRN MUTIRÃO JUIZADO ESPECIAL </t>
  </si>
  <si>
    <t>BOLETIM_RADIO_TJRN_18_03_2026_B6_TJRN_MUTIRAO_JUIZADO_ESPECIAL_</t>
  </si>
  <si>
    <t>https://docs.google.com/document/d/1so9kzlMZZdhEuUIOqDrNt6QUt0kwPmc8ZiAca_7-V0s/edit?usp=drivesdk</t>
  </si>
  <si>
    <t>B5- TJRN GMF RELATÓRIO SISTEMA</t>
  </si>
  <si>
    <t>BOLETIM_RADIO_TJRN_18_03_2026_B5_TJRN_GMF_RELATORIO_SISTEMA</t>
  </si>
  <si>
    <t>https://docs.google.com/document/d/1DTF2RHzeo4A7aTSZs3g6hLKee8-x2gsoDdz2MfSoIkw/edit?usp=drivesdk</t>
  </si>
  <si>
    <t xml:space="preserve">B4- TJRN CONDENA HOMEM EXTORSÃO </t>
  </si>
  <si>
    <t>BOLETIM_RADIO_TJRN_18_03_2026_B4_TJRN_CONDENA_HOMEM_EXTORSAO_</t>
  </si>
  <si>
    <t>https://docs.google.com/document/d/1AGxlRslcq3kaoQIdp4kvbCiaMqdt-NRfuDJEnRJRPDs/edit?usp=drivesdk</t>
  </si>
  <si>
    <t>B3- TJRN DETERMINA REATIVAÇÃO CONTAS FACEBOOK</t>
  </si>
  <si>
    <t>BOLETIM_RADIO_TJRN_18_03_2026_B3_TJRN_DETERMINA_REATIVACAO_CONTAS_FACEBOOK</t>
  </si>
  <si>
    <t>https://docs.google.com/document/d/1TI7yEfz7viBJtccIxqFqpxfQEFkzobvguBg860QmMPM/edit?usp=drivesdk</t>
  </si>
  <si>
    <t>B2- TJRN FALHA EM MARKETPLACE</t>
  </si>
  <si>
    <t>BOLETIM_RADIO_TJRN_18_03_2026_B2_TJRN_FALHA_EM_MARKETPLACE</t>
  </si>
  <si>
    <t>https://docs.google.com/document/d/1X8GkUDJgIiAzx-ef9WT4CS3m0W7ykugddAsk7-8eSU8/edit?usp=drivesdk</t>
  </si>
  <si>
    <t xml:space="preserve">B1- TJRN FABRICANTE MULTINACIONAL CONDENADA </t>
  </si>
  <si>
    <t>BOLETIM_RADIO_TJRN_18_03_2026_B1_TJRN_FABRICANTE_MULTINACIONAL_CONDENADA_</t>
  </si>
  <si>
    <t>https://docs.google.com/document/d/1OFrMsse2HWz4YT66qbfgik7P68P0kLeaTxdtaCo4Npc/edit?usp=drivesdk</t>
  </si>
  <si>
    <t xml:space="preserve">B10- MPRN RECOMDENÇÃO POLUIÇÃO SONORA </t>
  </si>
  <si>
    <t>BOLETIM_RADIO_TJRN_17_03_2026_B10_MPRN_RECOMDENCAO_POLUICAO_SONORA_</t>
  </si>
  <si>
    <t>https://docs.google.com/document/d/19G3OOWIFPfZDlS021tDO72_FbplPIl6xjCYPMcWDyvE/edit?usp=drivesdk</t>
  </si>
  <si>
    <t xml:space="preserve">B9- OAB/RN PROGRAMA DESENVOLVIMENTO </t>
  </si>
  <si>
    <t>BOLETIM_RADIO_TJRN_17_03_2026_B9_OABRN_PROGRAMA_DESENVOLVIMENTO_</t>
  </si>
  <si>
    <t>https://docs.google.com/document/d/1sDteUMcMjH5HyKriR1ZuYdvw-nhm_Im7AL1Tw08ct1g/edit?usp=drivesdk</t>
  </si>
  <si>
    <t>B8- TJRN IMOBILIÁRIA COSERN CONDENADAS</t>
  </si>
  <si>
    <t>BOLETIM_RADIO_TJRN_17_03_2026_B8_TJRN_IMOBILIARIA_COSERN_CONDENADAS</t>
  </si>
  <si>
    <t>https://docs.google.com/document/d/1zNDxmoP-47Pej6Nuxw_x5bOHmMl5AjDY7EUOGwktpgQ/edit?usp=drivesdk</t>
  </si>
  <si>
    <t xml:space="preserve">B7- TJRN ESTADO LEITO UTI PACIENTE </t>
  </si>
  <si>
    <t>BOLETIM_RADIO_TJRN_17_03_2026_B7_TJRN_ESTADO_LEITO_UTI_PACIENTE_</t>
  </si>
  <si>
    <t>https://docs.google.com/document/d/14uf81kCD6S2uGNWKnukfPbVQEdOLxQxN0lS7doaXt9U/edit?usp=drivesdk</t>
  </si>
  <si>
    <t xml:space="preserve">B6- TJRN AULA INAUGURAL DINTER </t>
  </si>
  <si>
    <t>BOLETIM_RADIO_TJRN_17_03_2026_B6_TJRN_AULA_INAUGURAL_DINTER_</t>
  </si>
  <si>
    <t>https://docs.google.com/document/d/1AQPAPD8IefUdo1FhjsiGJ6e6OoxmminINRDL3XNxU4c/edit?usp=drivesdk</t>
  </si>
  <si>
    <t xml:space="preserve">B5- TJRN  PROMOVE CURSO MAGISTRADOS </t>
  </si>
  <si>
    <t>BOLETIM_RADIO_TJRN_17_03_2026_B5_TJRN_PROMOVE_CURSO_MAGISTRADOS_</t>
  </si>
  <si>
    <t>https://docs.google.com/document/d/1SDOdMSrUkpxGUNORtzRD2qpmfu8PIF2yhEstF-T6kYQ/edit?usp=drivesdk</t>
  </si>
  <si>
    <t xml:space="preserve">B4- TJRN EXECUÇÃO FISCAL TRIBUTÁRIA </t>
  </si>
  <si>
    <t>BOLETIM_RADIO_TJRN_17_03_2026_B4_TJRN_EXECUCAO_FISCAL_TRIBUTARIA_</t>
  </si>
  <si>
    <t>https://docs.google.com/document/d/18cHh9t5a-lF1v7IqbfWQktcaKbDF-fd6g712LOvA2Jc/edit?usp=drivesdk</t>
  </si>
  <si>
    <t xml:space="preserve">B3- TJRN SERVIDÃO ADMINISTRATIVA </t>
  </si>
  <si>
    <t>BOLETIM_RADIO_TJRN_17_03_2026_B3_TJRN_SERVIDAO_ADMINISTRATIVA_</t>
  </si>
  <si>
    <t>https://docs.google.com/document/d/1AUsx-5O8-mtreRJaXtLO6N0ytrSdujyaJWCoPgcV8Cg/edit?usp=drivesdk</t>
  </si>
  <si>
    <t xml:space="preserve">B2- TJRN CEARÁ-MIRIM PROJETOS </t>
  </si>
  <si>
    <t>BOLETIM_RADIO_TJRN_17_03_2026_B2_TJRN_CEARA_MIRIM_PROJETOS_</t>
  </si>
  <si>
    <t>https://docs.google.com/document/d/1qEpSShbGNpcSNhGx5CKhssxS_OrG1cccK6JH_MCwexo/edit?usp=drivesdk</t>
  </si>
  <si>
    <t xml:space="preserve">B1- TJRN NEGA DECISÃO DANO MORAL </t>
  </si>
  <si>
    <t>BOLETIM_RADIO_TJRN_17_03_2026_B1_TJRN_NEGA_DECISAO_DANO_MORAL_</t>
  </si>
  <si>
    <t>https://docs.google.com/document/d/1VQGQtqMVEjpVuS0uGEn8LLx5qvDbRbxotxmhFNMRC6E/edit?usp=drivesdk</t>
  </si>
  <si>
    <t xml:space="preserve">B10- TJRN POTILAB INOVAÇÃO </t>
  </si>
  <si>
    <t>BOLETIM_RADIO_TJRN_16_03_2026_B10_TJRN_POTILAB_INOVACAO_</t>
  </si>
  <si>
    <t>https://docs.google.com/document/d/1aUTSee-Greone5HFz6RJkqhAfg5NKwUlfm7jaJzkn6E/edit?usp=drivesdk</t>
  </si>
  <si>
    <t xml:space="preserve">B9- TJRN MACAÍBA PROJETOS IMPACTO SOCIAL </t>
  </si>
  <si>
    <t>BOLETIM_RADIO_TJRN_16_03_2026_B9_TJRN_MACAIBA_PROJETOS_IMPACTO_SOCIAL_</t>
  </si>
  <si>
    <t>https://docs.google.com/document/d/1xrMNtOmv-oFExggpkMvTiuNV4JF7lJcmqhSlsU9aIuI/edit?usp=drivesdk</t>
  </si>
  <si>
    <t xml:space="preserve">B8- TJRN CAMPANHA CRIANÇA NÃO NAMORA </t>
  </si>
  <si>
    <t>BOLETIM_RADIO_TJRN_16_03_2026_B8_TJRN_CAMPANHA_CRIANCA_NAO_NAMORA_</t>
  </si>
  <si>
    <t>https://docs.google.com/document/d/1AIayQtIFHWF8qBylnsWRXaywNg56K0KJYyUii6hiI7s/edit?usp=drivesdk</t>
  </si>
  <si>
    <t>B7- TJRN PROCON AÇÃO CONJUNTA</t>
  </si>
  <si>
    <t>BOLETIM_RADIO_TJRN_16_03_2026_B7_TJRN_PROCON_ACAO_CONJUNTA</t>
  </si>
  <si>
    <t>https://docs.google.com/document/d/1T2L0q_TnV1-O2t97bc4z8-ZuicVCCLXuVdvOFGAwX3U/edit?usp=drivesdk</t>
  </si>
  <si>
    <t xml:space="preserve">B6- TJRN FEIRA ARTESANATO GASTRONOMIA </t>
  </si>
  <si>
    <t>BOLETIM_RADIO_TJRN_16_03_2026_B6_TJRN_FEIRA_ARTESANATO_GASTRONOMIA_</t>
  </si>
  <si>
    <t>https://docs.google.com/document/d/1jf_Ci6pOruEEXZP7yCHVZrM9rxaPFiGvzzqW2A9XzkQ/edit?usp=drivesdk</t>
  </si>
  <si>
    <t xml:space="preserve">B5- TJRN BOAS PRÁTICAS </t>
  </si>
  <si>
    <t>BOLETIM_RADIO_TJRN_16_03_2026_B5_TJRN_BOAS_PRATICAS_</t>
  </si>
  <si>
    <t>https://docs.google.com/document/d/1M-Fz7jZVFMeFd2fIzI5Zb-nb_WqOCdmpeznzkslZ8QY/edit?usp=drivesdk</t>
  </si>
  <si>
    <t>B4- TJRN ENTREGA TV DEMORA</t>
  </si>
  <si>
    <t>BOLETIM_RADIO_TJRN_16_03_2026_B4_TJRN_ENTREGA_TV_DEMORA</t>
  </si>
  <si>
    <t>https://docs.google.com/document/d/10b_wV405YqMII4Z71pbhoZ83myl2gNGa58tajO24BZk/edit?usp=drivesdk</t>
  </si>
  <si>
    <t>B3- TJRN EMPRESA TELEFONIA CONDENADA</t>
  </si>
  <si>
    <t>BOLETIM_RADIO_TJRN_16_03_2026_B3_TJRN_EMPRESA_TELEFONIA_CONDENADA</t>
  </si>
  <si>
    <t>https://docs.google.com/document/d/1EvuNCrEQ6nyuvsTetXeEGFuRBNi5ObYJCAx9U4sLJiY/edit?usp=drivesdk</t>
  </si>
  <si>
    <t>B2- TJRN ABERTA INSCRIÇÕES ENAM</t>
  </si>
  <si>
    <t>BOLETIM_RADIO_TJRN_16_03_2026_B2_TJRN_ABERTA_INSCRICOES_ENAM</t>
  </si>
  <si>
    <t>https://docs.google.com/document/d/1XpJ9QowT3ul5WHZ9oxZ02QqDpVpXTdGpIB9J2kajYd0/edit?usp=drivesdk</t>
  </si>
  <si>
    <t xml:space="preserve">B1- TJRN CLIENTE INDENIZADA CLÍNICA </t>
  </si>
  <si>
    <t>BOLETIM_RADIO_TJRN_16_03_2026_B1_TJRN_CLIENTE_INDENIZADA_CLINICA_</t>
  </si>
  <si>
    <t>https://docs.google.com/document/d/1W2fvc2uVLKBWBIVH6kVbHKgXUPl7ru7xWtmTBXLj904/edit?usp=drivesdk</t>
  </si>
  <si>
    <t>B10- POSSE TERRENO USUCAPIÃO</t>
  </si>
  <si>
    <t>BOLETIM_RADIO_TJRN_13_03_2026_B10_POSSE_TERRENO_USUCAPIAO</t>
  </si>
  <si>
    <t>https://docs.google.com/document/d/1YHxzoTVmOziUzvuXQ2A-qFIEaGI2WRMOQDIWNxhFTVc/edit?usp=drivesdk</t>
  </si>
  <si>
    <t>B9- INDENIZAÇÃO DEMORA CONSERTO VEÍCULO</t>
  </si>
  <si>
    <t>BOLETIM_RADIO_TJRN_13_03_2026_B9_INDENIZACAO_DEMORA_CONSERTO_VEICULO</t>
  </si>
  <si>
    <t>https://docs.google.com/document/d/16Xd-7VLim2JwI6D8D--_ZuBtF62KFYxzEs31yxZ__Pc/edit?usp=drivesdk</t>
  </si>
  <si>
    <t>B8- PALESTRA SAÚDE FEMININA</t>
  </si>
  <si>
    <t>BOLETIM_RADIO_TJRN_13_03_2026_B8_PALESTRA_SAUDE_FEMININA</t>
  </si>
  <si>
    <t>https://docs.google.com/document/d/1ZKTbw_ffNQ-A41YL4VegFWimWXUIfcaez3zxwOyBCfk/edit?usp=drivesdk</t>
  </si>
  <si>
    <t xml:space="preserve">B7- CNJ REDES ATENDIMENTOS DENÚNCIA </t>
  </si>
  <si>
    <t>BOLETIM_RADIO_TJRN_13_03_2026_B7_CNJ_REDES_ATENDIMENTOS_DENUNCIA_</t>
  </si>
  <si>
    <t>https://docs.google.com/document/d/1-hP-QR9R6OqNFFgxT-uE40Cb4TRgPk-VW3J-fNGKOLs/edit?usp=drivesdk</t>
  </si>
  <si>
    <t xml:space="preserve">B6- TJRN VARA MACAÍBA PENAS PECUNIÁRIAS </t>
  </si>
  <si>
    <t>BOLETIM_RADIO_TJRN_13_03_2026_B6_TJRN_VARA_MACAIBA_PENAS_PECUNIARIAS_</t>
  </si>
  <si>
    <t>https://docs.google.com/document/d/1KKUnF2tSLr4XOUZW2Md5S0DgPd1qRnrKfyY5teMQdBc/edit?usp=drivesdk</t>
  </si>
  <si>
    <t xml:space="preserve">B5- TJRN CLÁUSULAS CLARAS CONSÓRCIO </t>
  </si>
  <si>
    <t>BOLETIM_RADIO_TJRN_13_03_2026_B5_TJRN_CLAUSULAS_CLARAS_CONSORCIO_</t>
  </si>
  <si>
    <t>https://docs.google.com/document/d/1xIPmH0BPQoKtylhsVH4v-R9JN85hqI0DwbFRp2DWZX0/edit?usp=drivesdk</t>
  </si>
  <si>
    <t xml:space="preserve">B4- TJRN HOMEM CONDENADO VIOLÊNCIA PSICOLÓGICA </t>
  </si>
  <si>
    <t>BOLETIM_RADIO_TJRN_13_03_2026_B4_TJRN_HOMEM_CONDENADO_VIOLENCIA_PSICOLOGICA_</t>
  </si>
  <si>
    <t>https://docs.google.com/document/d/1JZ0n8_iuRUwj8AgjFshL46Ydn8QKpTet3poQ14XOJbQ/edit?usp=drivesdk</t>
  </si>
  <si>
    <t xml:space="preserve">B3- TJRN MANTÉM CONDENAÇÃO DANO AMBIENTAL </t>
  </si>
  <si>
    <t>BOLETIM_RADIO_TJRN_13_03_2026_B3_TJRN_MANTEM_CONDENACAO_DANO_AMBIENTAL_</t>
  </si>
  <si>
    <t>https://docs.google.com/document/d/19BOiSXq3TOSoTIGX6bG2qUewcPWjep-oSzP-P7N0I5s/edit?usp=drivesdk</t>
  </si>
  <si>
    <t xml:space="preserve">B2- TJRN DETERMINA SUSPENSÃO COBRANÇA </t>
  </si>
  <si>
    <t>BOLETIM_RADIO_TJRN_13_03_2026_B2_TJRN_DETERMINA_SUSPENSAO_COBRANCA_</t>
  </si>
  <si>
    <t>https://docs.google.com/document/d/1xdxuPONePte1ClxC9u87fFxzMTGSLnAhyWqg89jkhWU/edit?usp=drivesdk</t>
  </si>
  <si>
    <t>B1- TJRN NOTIFICAÇÃO DEVEDOR LEGITIMA</t>
  </si>
  <si>
    <t>BOLETIM_RADIO_TJRN_13_03_2026_B1_TJRN_NOTIFICACAO_DEVEDOR_LEGITIMA</t>
  </si>
  <si>
    <t>https://docs.google.com/document/d/1S_qfu_TK2CSOuJONPKaRKF2ozsq9Xx_FbYvShQAap-U/edit?usp=drivesdk</t>
  </si>
  <si>
    <t xml:space="preserve">B10- TRT/RN CUIDADORA REVEZAVA PLANTÕES </t>
  </si>
  <si>
    <t>BOLETIM_RADIO_TJRN_12_03_2026_B10_TRTRN_CUIDADORA_REVEZAVA_PLANTOES_</t>
  </si>
  <si>
    <t>https://docs.google.com/document/d/15TRHvUubViHfb6EhWrjgwdy_nf0X9HcHC1cteLrYgYM/edit?usp=drivesdk</t>
  </si>
  <si>
    <t xml:space="preserve">B9- DPERN EDITAL DOAÇÃO VEÍCULOS </t>
  </si>
  <si>
    <t>BOLETIM_RADIO_TJRN_12_03_2026_B9_DPERN_EDITAL_DOACAO_VEICULOS_</t>
  </si>
  <si>
    <t>https://docs.google.com/document/d/1ok4sSbtGnp9LXkY_OQ4AZw9Cm8obxvpnZGIauCAdN4E/edit?usp=drivesdk</t>
  </si>
  <si>
    <t xml:space="preserve">B8- TJRN VARA ANGICOS EDITAL </t>
  </si>
  <si>
    <t>BOLETIM_RADIO_TJRN_12_03_2026_B8_TJRN_VARA_ANGICOS_EDITAL_</t>
  </si>
  <si>
    <t>https://docs.google.com/document/d/12g8XbUv2qEAk7r9r9mxWmmYj2GLHErktcuiCZZ4Joyk/edit?usp=drivesdk</t>
  </si>
  <si>
    <t xml:space="preserve">B7- TJRN EDITAL PROJETOS SOCIAIS </t>
  </si>
  <si>
    <t>BOLETIM_RADIO_TJRN_12_03_2026_B7_TJRN_EDITAL_PROJETOS_SOCIAIS_</t>
  </si>
  <si>
    <t>https://docs.google.com/document/d/1DngyFKthTs3S6aL69uUftIkgI0ysfUfK6GZoS8Xwu0A/edit?usp=drivesdk</t>
  </si>
  <si>
    <t xml:space="preserve">B6- TJRN CEJUSC CEARÁ-MIRIM ACORDO </t>
  </si>
  <si>
    <t>BOLETIM_RADIO_TJRN_12_03_2026_B6_TJRN_CEJUSC_CEARA_MIRIM_ACORDO_</t>
  </si>
  <si>
    <t>https://docs.google.com/document/d/1rOkl5JuhzbkYKlgz8vrbU6VvTJ0G0plfFduPnEk61Hk/edit?usp=drivesdk</t>
  </si>
  <si>
    <t xml:space="preserve">B5- TJRN COMITÊ GESTOR PENAS PECUNIÁRIAS </t>
  </si>
  <si>
    <t>BOLETIM_RADIO_TJRN_12_03_2026_B5_TJRN_COMITE_GESTOR_PENAS_PECUNIARIAS_</t>
  </si>
  <si>
    <t>https://docs.google.com/document/d/1SoCcLCwnKiI4isJ0DjgGIEieQFPE8tZkXhkretTATl4/edit?usp=drivesdk</t>
  </si>
  <si>
    <t xml:space="preserve">B4- TJRN TOUROS PROCESSO SELETIVO </t>
  </si>
  <si>
    <t>BOLETIM_RADIO_TJRN_12_03_2026_B4_TJRN_TOUROS_PROCESSO_SELETIVO_</t>
  </si>
  <si>
    <t>https://docs.google.com/document/d/1rVoj2WnVWU6HcrpzdvYe0AK7DZkyY3uArEa-YNrfXgI/edit?usp=drivesdk</t>
  </si>
  <si>
    <t xml:space="preserve">B3- TJRN EDITAL FORMAÇÃO MANUTENÇÃO </t>
  </si>
  <si>
    <t>BOLETIM_RADIO_TJRN_12_03_2026_B3_TJRN_EDITAL_FORMACAO_MANUTENCAO_</t>
  </si>
  <si>
    <t>https://docs.google.com/document/d/1gDYUvGURkmVT0lqExD6Je-FEvRYdUHLXQyoMSPSpXsg/edit?usp=drivesdk</t>
  </si>
  <si>
    <t>B2- TJRN EMPRESA BLACK FRIDAY</t>
  </si>
  <si>
    <t>BOLETIM_RADIO_TJRN_12_03_2026_B2_TJRN_EMPRESA_BLACK_FRIDAY</t>
  </si>
  <si>
    <t>https://docs.google.com/document/d/1CF7nc3rUvwQDrsA2C6oFFHhQ9qdYcacFgudR43Wfic4/edit?usp=drivesdk</t>
  </si>
  <si>
    <t xml:space="preserve">B1- TJRN MANTIDA LEGALIDADE NOMEAÇÕES </t>
  </si>
  <si>
    <t>BOLETIM_RADIO_TJRN_12_03_2026_B1_TJRN_MANTIDA_LEGALIDADE_NOMEACOES_</t>
  </si>
  <si>
    <t>https://docs.google.com/document/d/1xYknSZMSrbSjCBwFOJW05W-6Mi5weZmmHAifBoBb4Wo/edit?usp=drivesdk</t>
  </si>
  <si>
    <t>B10- CRONOGRAMA OBRAS</t>
  </si>
  <si>
    <t>BOLETIM_RADIO_TJRN_11_03_2026_B10_CRONOGRAMA_OBRAS</t>
  </si>
  <si>
    <t>https://docs.google.com/document/d/1wzz4_YSXmtJeBxBuM_w_Z8Vq_vZcrVF53kbW--D1HWo/edit?usp=drivesdk</t>
  </si>
  <si>
    <t>B9- AFASTAMENTO CURSO FORMAÇÃO</t>
  </si>
  <si>
    <t>BOLETIM_RADIO_TJRN_11_03_2026_B9_AFASTAMENTO_CURSO_FORMACAO</t>
  </si>
  <si>
    <t>https://docs.google.com/document/d/1nks0kgCuuGY3KIcr6P5Calj1HoEO8BUhOqMt4rdgmxg/edit?usp=drivesdk</t>
  </si>
  <si>
    <t>B8- ESTÁGIO PÓS ALEXANDRIA</t>
  </si>
  <si>
    <t>BOLETIM_RADIO_TJRN_11_03_2026_B8_ESTAGIO_POS_ALEXANDRIA</t>
  </si>
  <si>
    <t>https://docs.google.com/document/d/1evpzQSVY7BrhTqw4j6tCBTPSI7JwDov-eKcrfFYs53Q/edit?usp=drivesdk</t>
  </si>
  <si>
    <t xml:space="preserve">B7- CNJ TRIBUNAIS FERRAMENTA IA </t>
  </si>
  <si>
    <t>BOLETIM_RADIO_TJRN_11_03_2026_B7_CNJ_TRIBUNAIS_FERRAMENTA_IA_</t>
  </si>
  <si>
    <t>https://docs.google.com/document/d/1vXW-Efj3RRqhL0jQKAMd0cjM3oPeH47WZiMcQk8hvBE/edit?usp=drivesdk</t>
  </si>
  <si>
    <t xml:space="preserve">B6- TRE/RN 82 ATENDIMENTOS </t>
  </si>
  <si>
    <t>BOLETIM_RADIO_TJRN_11_03_2026_B6_TRERN_82_ATENDIMENTOS_</t>
  </si>
  <si>
    <t>https://docs.google.com/document/d/18sHkFNAPOZ8A7oubDgPz5H66xoOk93PGgZAkrBuO6m4/edit?usp=drivesdk</t>
  </si>
  <si>
    <t xml:space="preserve">B5- TJRN LIVRO IMPACTOS FEMINICÍDIOS </t>
  </si>
  <si>
    <t>BOLETIM_RADIO_TJRN_11_03_2026_B5_TJRN_LIVRO_IMPACTOS_FEMINICIDIOS_</t>
  </si>
  <si>
    <t>https://docs.google.com/document/d/12ECTcePkvmcoyIAw5UErdFxnxL9vmw-33eNFCHo3z10/edit?usp=drivesdk</t>
  </si>
  <si>
    <t>B4- TJRN JUIZADO VIOLÊNCIA DOMÉSTICA</t>
  </si>
  <si>
    <t>BOLETIM_RADIO_TJRN_11_03_2026_B4_TJRN_JUIZADO_VIOLENCIA_DOMESTICA</t>
  </si>
  <si>
    <t>https://docs.google.com/document/d/1BDb7uDR1V6R_rgmBsleDWDFbA2zatK5k0DXs2weHhq0/edit?usp=drivesdk</t>
  </si>
  <si>
    <t xml:space="preserve">B3- TJRN ACUSADO MATAR PREFEITO </t>
  </si>
  <si>
    <t>BOLETIM_RADIO_TJRN_11_03_2026_B3_TJRN_ACUSADO_MATAR_PREFEITO_</t>
  </si>
  <si>
    <t>https://docs.google.com/document/d/1ZOmRykzpUA4-AUXRp9zgRMAve1j0rvk2YHUmZaHIb8E/edit?usp=drivesdk</t>
  </si>
  <si>
    <t xml:space="preserve">B2- TJRN EMPRESA ÔNIBUS CONDENADA </t>
  </si>
  <si>
    <t>BOLETIM_RADIO_TJRN_11_03_2026_B2_TJRN_EMPRESA_ONIBUS_CONDENADA_</t>
  </si>
  <si>
    <t>https://docs.google.com/document/d/1ts5rSIwP9Ec5-rfyt3TqWs7yR9OXNdgoalxF_NYrWcg/edit?usp=drivesdk</t>
  </si>
  <si>
    <t xml:space="preserve">B1- TJRN NEGLIGÊNCIA MÉDICA </t>
  </si>
  <si>
    <t>BOLETIM_RADIO_TJRN_11_03_2026_B1_TJRN_NEGLIGENCIA_MEDICA_</t>
  </si>
  <si>
    <t>https://docs.google.com/document/d/1Upxo27PvqXounYNfDB4APSl0c3eSHcUht9zp969JL8g/edit?usp=drivesdk</t>
  </si>
  <si>
    <t xml:space="preserve">B10- TJRN TERMO GUIA ÚNICA ARRECADAÇÃO </t>
  </si>
  <si>
    <t>BOLETIM_RADIO_TJRN_10_03_2026_B10_TJRN_TERMO_GUIA_UNICA_ARRECADACAO_</t>
  </si>
  <si>
    <t>https://docs.google.com/document/d/1PDpCmRgTiQlP_KKP2FmZuqqo3XBYWgj76AZfRkI7zZw/edit?usp=drivesdk</t>
  </si>
  <si>
    <t xml:space="preserve">B9- TJRN PRESTADOR SERVIÇOS ACUSADO </t>
  </si>
  <si>
    <t>BOLETIM_RADIO_TJRN_10_03_2026_B9_TJRN_PRESTADOR_SERVICOS_ACUSADO_</t>
  </si>
  <si>
    <t>https://docs.google.com/document/d/1ZRnudL3cAZ66kL3qaL0m7ep4ZIYzcxd0tGvmopK6ftY/edit?usp=drivesdk</t>
  </si>
  <si>
    <t xml:space="preserve">B8- TJRN EMPRESA SETOR INFORMÁTICA </t>
  </si>
  <si>
    <t>BOLETIM_RADIO_TJRN_10_03_2026_B8_TJRN_EMPRESA_SETOR_INFORMATICA_</t>
  </si>
  <si>
    <t>https://docs.google.com/document/d/1RgI1p2HitBQgTZq4FsSaStQDbxjZQu-4P92D7D5Ya48/edit?usp=drivesdk</t>
  </si>
  <si>
    <t xml:space="preserve">B7- TJRN PARNAMIRIM ESTÁGIO DIREITO </t>
  </si>
  <si>
    <t>BOLETIM_RADIO_TJRN_10_03_2026_B7_TJRN_PARNAMIRIM_ESTAGIO_DIREITO_</t>
  </si>
  <si>
    <t>https://docs.google.com/document/d/1aK_PC7QfiezWXeQlI4sDBckvGytzXHPjCIMWWqOv2VY/edit?usp=drivesdk</t>
  </si>
  <si>
    <t>B6- TJRN PARTICIPAÇÃO ATLETA CAMPEONATO</t>
  </si>
  <si>
    <t>BOLETIM_RADIO_TJRN_10_03_2026_B6_TJRN_PARTICIPACAO_ATLETA_CAMPEONATO</t>
  </si>
  <si>
    <t>https://docs.google.com/document/d/1fS3d-Yfqa9BM3NHuM7Qdp6AI6v2bRXC8pIZ8FrlX1T4/edit?usp=drivesdk</t>
  </si>
  <si>
    <t xml:space="preserve">B5- TJRN COMARCA SÃO MIGUEL </t>
  </si>
  <si>
    <t>BOLETIM_RADIO_TJRN_10_03_2026_B5_TJRN_COMARCA_SAO_MIGUEL_</t>
  </si>
  <si>
    <t>https://docs.google.com/document/d/1G8tYGe5uJ3NzdopK7G0OKfa2c6Yrmlc_Ev5M81jv_uI/edit?usp=drivesdk</t>
  </si>
  <si>
    <t xml:space="preserve">B4- TJRN NEGA BLOQUEIO VERBAS </t>
  </si>
  <si>
    <t>BOLETIM_RADIO_TJRN_10_03_2026_B4_TJRN_NEGA_BLOQUEIO_VERBAS_</t>
  </si>
  <si>
    <t>https://docs.google.com/document/d/1qHa86qn6dpaR12fgzzrg6GM9L9cONWup5NrM9ZmZHaQ/edit?usp=drivesdk</t>
  </si>
  <si>
    <t>B3- TJRN PLANO SAÚDE SENSOR GLICOSE</t>
  </si>
  <si>
    <t>BOLETIM_RADIO_TJRN_10_03_2026_B3_TJRN_PLANO_SAUDE_SENSOR_GLICOSE</t>
  </si>
  <si>
    <t>https://docs.google.com/document/d/1UPidMi-l1jfFnFYJf436cn4n-EESa9xtpvwSXJDz7fU/edit?usp=drivesdk</t>
  </si>
  <si>
    <t xml:space="preserve">B2- TJRN FURTO ESTACIONAMENTO </t>
  </si>
  <si>
    <t>BOLETIM_RADIO_TJRN_10_03_2026_B2_TJRN_FURTO_ESTACIONAMENTO_</t>
  </si>
  <si>
    <t>https://docs.google.com/document/d/1Du7_9YI8EOZei9rl6pP-icTzhf6KjvbJrCockwtWjoM/edit?usp=drivesdk</t>
  </si>
  <si>
    <t>B1- TJRN DEFEITO MAQUINA VENDAS PREJUÍZO</t>
  </si>
  <si>
    <t>BOLETIM_RADIO_TJRN_10_03_2026_B1_TJRN_DEFEITO_MAQUINA_VENDAS_PREJUIZO</t>
  </si>
  <si>
    <t>https://docs.google.com/document/d/17ID81UypfHjLtIZXTTEJBEtRJDQEBqanyO4JNiBzpbU/edit?usp=drivesdk</t>
  </si>
  <si>
    <t xml:space="preserve">B10- TRT/RN ACORDO CEJUSC MOSSORÓ </t>
  </si>
  <si>
    <t>BOLETIM_RADIO_TJRN_09_03_2026_B10_TRTRN_ACORDO_CEJUSC_MOSSORO_</t>
  </si>
  <si>
    <t>https://docs.google.com/document/d/1N4VFPdPfR9T8c1LAZkJTaz7H3tKVyBgoVTxm862i0jM/edit?usp=drivesdk</t>
  </si>
  <si>
    <t>B9- TJRN EMPRESAS CONDENADAS RESTITUIR VALORES</t>
  </si>
  <si>
    <t>BOLETIM_RADIO_TJRN_09_03_2026_B9_TJRN_EMPRESAS_CONDENADAS_RESTITUIR_VALORES</t>
  </si>
  <si>
    <t>https://docs.google.com/document/d/13h7XuInSraU3NdqBDwPkSM7OWIXPYLJKC6-QXZRxYxo/edit?usp=drivesdk</t>
  </si>
  <si>
    <t>B8- FURTO ESTACIONAMENTO INDENIZAÇÃO</t>
  </si>
  <si>
    <t>BOLETIM_RADIO_TJRN_09_03_2026_B8_FURTO_ESTACIONAMENTO_INDENIZACAO</t>
  </si>
  <si>
    <t>https://docs.google.com/document/d/1iXtyH1XYN9-4_ZjOS0tY7CxLyTagwsSvd7HAy3cSvyg/edit?usp=drivesdk</t>
  </si>
  <si>
    <t xml:space="preserve">B7- TJRN MUTIRÃO CONCILIAÇÃO </t>
  </si>
  <si>
    <t>BOLETIM_RADIO_TJRN_09_03_2026_B7_TJRN_MUTIRAO_CONCILIACAO_</t>
  </si>
  <si>
    <t>https://docs.google.com/document/d/1PSXV9rIR-kSySieE5xELTJQG_-92gqgX4w6SRiyBlAc/edit?usp=drivesdk</t>
  </si>
  <si>
    <t xml:space="preserve">B6- TJRN ENCONTRO JUÍZES VIRTUAL </t>
  </si>
  <si>
    <t>BOLETIM_RADIO_TJRN_09_03_2026_B6_TJRN_ENCONTRO_JUIZES_VIRTUAL_</t>
  </si>
  <si>
    <t>https://docs.google.com/document/d/1eMdIDZC8bnOGGidBer4sZKE8nqV_dm-EA_JnIuhhQCM/edit?usp=drivesdk</t>
  </si>
  <si>
    <t>B5- TJRN SUSPENDE ATO PARELHAS</t>
  </si>
  <si>
    <t>BOLETIM_RADIO_TJRN_09_03_2026_B5_TJRN_SUSPENDE_ATO_PARELHAS</t>
  </si>
  <si>
    <t>https://docs.google.com/document/d/1YqtcJaLCzuCZEz57uGtjUgLJECwooWQ3_5cQgxY0rqw/edit?usp=drivesdk</t>
  </si>
  <si>
    <t>B4- ANULAÇÃO ATO POSSE CONCURSO</t>
  </si>
  <si>
    <t>BOLETIM_RADIO_TJRN_09_03_2026_B4_ANULACAO_ATO_POSSE_CONCURSO</t>
  </si>
  <si>
    <t>https://docs.google.com/document/d/1R7s4sHkgD3qfoJlB-5jW1C66IpW8_-wBbg65CprcPg4/edit?usp=drivesdk</t>
  </si>
  <si>
    <t>B3- CIRURGIA GLAUCOMA AVANÇADO</t>
  </si>
  <si>
    <t>BOLETIM_RADIO_TJRN_09_03_2026_B3_CIRURGIA_GLAUCOMA_AVANCADO</t>
  </si>
  <si>
    <t>https://docs.google.com/document/d/1hW7oYaiBLyVBEtOPTXiUfvYVO_U2XvnlKXFLG7T7b7U/edit?usp=drivesdk</t>
  </si>
  <si>
    <t>B2- INDENIZAÇÃO FAMÍLIA MORTE IDOSA</t>
  </si>
  <si>
    <t>BOLETIM_RADIO_TJRN_09_03_2026_B2_INDENIZACAO_FAMILIA_MORTE_IDOSA</t>
  </si>
  <si>
    <t>https://docs.google.com/document/d/1aVj2LBXuvlHYA8SBTL4JNXKvk8ubMRt7B3le1kEnl88/edit?usp=drivesdk</t>
  </si>
  <si>
    <t>B1- DESCREDENCIAMENTO PLANO SAÚDE</t>
  </si>
  <si>
    <t>BOLETIM_RADIO_TJRN_09_03_2026_B1_DESCREDENCIAMENTO_PLANO_SAUDE</t>
  </si>
  <si>
    <t>https://docs.google.com/document/d/14OaTn3iOo3byiAgb8M-6BX4fjPENIBzGS1QTj8pKmsk/edit?usp=drivesdk</t>
  </si>
  <si>
    <t>B10- DPERN MEDICAMENTO ALTO CUSTO</t>
  </si>
  <si>
    <t>BOLETIM_RADIO_TJRN_06_03_2026_B10_DPERN_MEDICAMENTO_ALTO_CUSTO</t>
  </si>
  <si>
    <t>https://docs.google.com/document/d/193SORDbBXg8pfqWElTtsX9r6ybAgB0Gm27Bx8oz1rQk/edit?usp=drivesdk</t>
  </si>
  <si>
    <t>B9- TRT/RN PROCURADORA CHEFE UNIÃO</t>
  </si>
  <si>
    <t>BOLETIM_RADIO_TJRN_06_03_2026_B9_TRTRN_PROCURADORA_CHEFE_UNIAO</t>
  </si>
  <si>
    <t>https://docs.google.com/document/d/1yJnL_KIjCXQ6nowmtN0nVbB5O_uJZi3CBEf-GirRUpo/edit?usp=drivesdk</t>
  </si>
  <si>
    <t xml:space="preserve">B8- TJRN PAU FERROS PROCESSO SELETIVO </t>
  </si>
  <si>
    <t>BOLETIM_RADIO_TJRN_06_03_2026_B8_TJRN_PAU_FERROS_PROCESSO_SELETIVO_</t>
  </si>
  <si>
    <t>https://docs.google.com/document/d/1_2aPjhniC5_YFP7yBmvZ31iWSRVTGRsFK38UJk_-y1w/edit?usp=drivesdk</t>
  </si>
  <si>
    <t xml:space="preserve">B7- TJRN DESOCUPAÇÃO IMÓVEIS FELIPE CAMARÃO </t>
  </si>
  <si>
    <t>BOLETIM_RADIO_TJRN_06_03_2026_B7_TJRN_DESOCUPACAO_IMOVEIS_FELIPE_CAMARAO_</t>
  </si>
  <si>
    <t>https://docs.google.com/document/d/1lZUoq2d2fKDamo-CkLQGyhFpJ0aaL6_8m0Hs4peVphc/edit?usp=drivesdk</t>
  </si>
  <si>
    <t xml:space="preserve">B6- TJRN FUNDAÇÃO EX-EMPREGADOS TELERN </t>
  </si>
  <si>
    <t>BOLETIM_RADIO_TJRN_06_03_2026_B6_TJRN_FUNDACAO_EX_EMPREGADOS_TELERN_</t>
  </si>
  <si>
    <t>https://docs.google.com/document/d/1vJKwRJQfjtEMNgKpP7SiefUudMdzYleuIaMEz_CNPec/edit?usp=drivesdk</t>
  </si>
  <si>
    <t>B5- TJRN HOMEM CONDENADO ROUBO</t>
  </si>
  <si>
    <t>BOLETIM_RADIO_TJRN_06_03_2026_B5_TJRN_HOMEM_CONDENADO_ROUBO</t>
  </si>
  <si>
    <t>https://docs.google.com/document/d/1lKc9TDlDf-lG0Up3IGCUkYN71QjYeJGPzBr3X4QYRbw/edit?usp=drivesdk</t>
  </si>
  <si>
    <t xml:space="preserve">B4- TJRN REDE SOCIAL DECISÃO </t>
  </si>
  <si>
    <t>BOLETIM_RADIO_TJRN_06_03_2026_B4_TJRN_REDE_SOCIAL_DECISAO_</t>
  </si>
  <si>
    <t>https://docs.google.com/document/d/1HWMC-ZC4XZNg4PoHqIPqmsPSlCmkiQQuCGhUGaHycsk/edit?usp=drivesdk</t>
  </si>
  <si>
    <t xml:space="preserve">B3- TJRN CAMPESTRE PROCESSO SELETIVO </t>
  </si>
  <si>
    <t>BOLETIM_RADIO_TJRN_06_03_2026_B3_TJRN_CAMPESTRE_PROCESSO_SELETIVO_</t>
  </si>
  <si>
    <t>https://docs.google.com/document/d/1hut8ULQqFaoVS-vw6Wy7yK5X6glqE6pb1-QNfmEVgl0/edit?usp=drivesdk</t>
  </si>
  <si>
    <t xml:space="preserve">B2- TJRN VALOR COPARTICIPAÇÃO </t>
  </si>
  <si>
    <t>BOLETIM_RADIO_TJRN_06_03_2026_B2_TJRN_VALOR_COPARTICIPACAO_</t>
  </si>
  <si>
    <t>https://docs.google.com/document/d/1j6fSexFL82UHPFI8SdVNQrC4xpCWxD316zSKkIJKNrQ/edit?usp=drivesdk</t>
  </si>
  <si>
    <t>B1- TJRN DETERMINA RESTITUIÇÃO DOBRO</t>
  </si>
  <si>
    <t>BOLETIM_RADIO_TJRN_06_03_2026_B1_TJRN_DETERMINA_RESTITUICAO_DOBRO</t>
  </si>
  <si>
    <t>https://docs.google.com/document/d/1jdMol3SJmLBnDGwsGV3un_6jGVc8rpUMJTPFvDC6eQU/edit?usp=drivesdk</t>
  </si>
  <si>
    <t>B10- ESMARN EDITAL PROVA PRÁTICA</t>
  </si>
  <si>
    <t>BOLETIM_RADIO_TJRN_05_03_2026_B10_ESMARN_EDITAL_PROVA_PRATICA</t>
  </si>
  <si>
    <t>https://docs.google.com/document/d/1eEVyf9hy9fZ_yqToJfXiKcEl6CueET2csd07k3nAltg/edit?usp=drivesdk</t>
  </si>
  <si>
    <t>B9- TRT/RN ASSISTENTE VIRTUAL</t>
  </si>
  <si>
    <t>BOLETIM_RADIO_TJRN_05_03_2026_B9_TRTRN_ASSISTENTE_VIRTUAL</t>
  </si>
  <si>
    <t>https://docs.google.com/document/d/1RjGgbXHyimFAYMa0AvGM7ip67OwGdudJKwwY0dodlX0/edit?usp=drivesdk</t>
  </si>
  <si>
    <t xml:space="preserve">B8- DPERN JARDIM PRIMAVERA </t>
  </si>
  <si>
    <t>BOLETIM_RADIO_TJRN_05_03_2026_B8_DPERN_JARDIM_PRIMAVERA_</t>
  </si>
  <si>
    <t>https://docs.google.com/document/d/1UrYhkx3IXxfgsejvNA1EO1WJ_-uuAYOkg2FKr7Livzg/edit?usp=drivesdk</t>
  </si>
  <si>
    <t xml:space="preserve">B7- TJRN NOMEIA 13 APROVADOS </t>
  </si>
  <si>
    <t>BOLETIM_RADIO_TJRN_05_03_2026_B7_TJRN_NOMEIA_13_APROVADOS_</t>
  </si>
  <si>
    <t>https://docs.google.com/document/d/13xQHMmR_vwP-81_Rhn0wt1itH7njf0yDOk5FfWMfp4M/edit?usp=drivesdk</t>
  </si>
  <si>
    <t xml:space="preserve">B6- TJRN RESPOSABILIDADE REDE SOCIAL </t>
  </si>
  <si>
    <t>BOLETIM_RADIO_TJRN_05_03_2026_B6_TJRN_RESPOSABILIDADE_REDE_SOCIAL_</t>
  </si>
  <si>
    <t>https://docs.google.com/document/d/1Au0gXOaplhy7jtAJ4BekBSnMSgaO4l_rCTdYWQsiFjU/edit?usp=drivesdk</t>
  </si>
  <si>
    <t>B5- TJRN HOMEM CONDENADO ESTELIONATO</t>
  </si>
  <si>
    <t>BOLETIM_RADIO_TJRN_05_03_2026_B5_TJRN_HOMEM_CONDENADO_ESTELIONATO</t>
  </si>
  <si>
    <t>https://docs.google.com/document/d/1Y3wsOCNERm9mdcQvs_yFHYtbblSuxffM8s77JL_uKxo/edit?usp=drivesdk</t>
  </si>
  <si>
    <t xml:space="preserve">B4- TJRN MANTÉM LICITAÇÃO CABEAMENTO </t>
  </si>
  <si>
    <t>BOLETIM_RADIO_TJRN_05_03_2026_B4_TJRN_MANTEM_LICITACAO_CABEAMENTO_</t>
  </si>
  <si>
    <t>https://docs.google.com/document/d/10fXL0g0gopFTiLGImmciS7IHDDlfWUDK44G2otY0SVA/edit?usp=drivesdk</t>
  </si>
  <si>
    <t>B3- TJRN ANPP NEGADO NOVA DECISÃO</t>
  </si>
  <si>
    <t>BOLETIM_RADIO_TJRN_05_03_2026_B3_TJRN_ANPP_NEGADO_NOVA_DECISAO</t>
  </si>
  <si>
    <t>https://docs.google.com/document/d/1W57wLnsK0KJNOoFUH6BeB7w3UPOsdVJxz4M1CoBDvo0/edit?usp=drivesdk</t>
  </si>
  <si>
    <t xml:space="preserve">B2- TJRN CONDENA COMERCIANTES REVENDA </t>
  </si>
  <si>
    <t>BOLETIM_RADIO_TJRN_05_03_2026_B2_TJRN_CONDENA_COMERCIANTES_REVENDA_</t>
  </si>
  <si>
    <t>https://docs.google.com/document/d/1ti1IS0vkGbFa1p_6sWIUJA3UcYmKCvaBysjsjA6r4Hw/edit?usp=drivesdk</t>
  </si>
  <si>
    <t xml:space="preserve">B1- TJRN ATO IMPROBIDADE LICITATÓRIO </t>
  </si>
  <si>
    <t>BOLETIM_RADIO_TJRN_05_03_2026_B1_TJRN_ATO_IMPROBIDADE_LICITATORIO_</t>
  </si>
  <si>
    <t>https://docs.google.com/document/d/1JL_FCwarJnVFMpXpgECSzY-e6A6JguhrfgrtQmH3nos/edit?usp=drivesdk</t>
  </si>
  <si>
    <t xml:space="preserve">B10- MPRN FIRMA ACORDO INTERINSTITUCIONAL </t>
  </si>
  <si>
    <t>BOLETIM_RADIO_TJRN_04_03_2026_B10_MPRN_FIRMA_ACORDO_INTERINSTITUCIONAL_</t>
  </si>
  <si>
    <t>https://docs.google.com/document/d/1XwzMiW4yLGx8qBS0CzCTNSvNegp3FXKq1l6JBZ7eHAQ/edit?usp=drivesdk</t>
  </si>
  <si>
    <t xml:space="preserve">B9- CNJ NOTA TÉCNICA COMBATE FALSO ADVOGADO </t>
  </si>
  <si>
    <t>BOLETIM_RADIO_TJRN_04_03_2026_B9_CNJ_NOTA_TECNICA_COMBATE_FALSO_ADVOGADO_</t>
  </si>
  <si>
    <t>https://docs.google.com/document/d/1ZlCEWlCSoK3QnP0Y5rf1WYG7s5qZj_5jQK9r-K6rbc8/edit?usp=drivesdk</t>
  </si>
  <si>
    <t xml:space="preserve">B7- TRT/RN SÓCIO RESPONSABILIZADO </t>
  </si>
  <si>
    <t>BOLETIM_RADIO_TJRN_04_03_2026_B7_TRTRN_SOCIO_RESPONSABILIZADO_</t>
  </si>
  <si>
    <t>https://docs.google.com/document/d/1eCxBE32LxWAFb5I8eapDC7Eh6AyUFifcylhpO7qh2W0/edit?usp=drivesdk</t>
  </si>
  <si>
    <t>B6- PENAS PECUNIÁRIAS CANGUARETAMA</t>
  </si>
  <si>
    <t>BOLETIM_RADIO_TJRN_04_03_2026_B6_PENAS_PECUNIARIAS_CANGUARETAMA</t>
  </si>
  <si>
    <t>https://docs.google.com/document/d/1cm7J_6crxzpHJLsLE4wg4GzXkZF5kITfn3p-T8nUdpY/edit?usp=drivesdk</t>
  </si>
  <si>
    <t>B5- COSERN DEVE INDENIZAR USUÁRIA</t>
  </si>
  <si>
    <t>BOLETIM_RADIO_TJRN_04_03_2026_B5_COSERN_DEVE_INDENIZAR_USUARIA</t>
  </si>
  <si>
    <t>https://docs.google.com/document/d/1P4XXUUVPY6ictT1MzphpV5ob_PXEA6yONFN9NLkFum4/edit?usp=drivesdk</t>
  </si>
  <si>
    <t>B4- REDE SOCIAL DEVE INDENIZAR USUÁRIA</t>
  </si>
  <si>
    <t>BOLETIM_RADIO_TJRN_04_03_2026_B4_REDE_SOCIAL_DEVE_INDENIZAR_USUARIA</t>
  </si>
  <si>
    <t>https://docs.google.com/document/d/1MaJpvBF49lYrdU507_2zwJmG9lyxJtfB_wDwL5M5jkw/edit?usp=drivesdk</t>
  </si>
  <si>
    <t>B3- PARNAMIRIM DEVE PAGAR ALUGUEIS</t>
  </si>
  <si>
    <t>BOLETIM_RADIO_TJRN_04_03_2026_B3_PARNAMIRIM_DEVE_PAGAR_ALUGUEIS</t>
  </si>
  <si>
    <t>https://docs.google.com/document/d/12dgrM60nDXFYMZN0vyUsxrfgwbC_O1VmA-RvEcwRNNM/edit?usp=drivesdk</t>
  </si>
  <si>
    <t>B2- COSERN DEVE AUMENTAR CARGA ENERGÉTICA</t>
  </si>
  <si>
    <t>BOLETIM_RADIO_TJRN_04_03_2026_B2_COSERN_DEVE_AUMENTAR_CARGA_ENERGETICA</t>
  </si>
  <si>
    <t>https://docs.google.com/document/d/1KbNNDaLaFn5leLs2bsly4WtAqUz1RWHdp88ftwgSb7I/edit?usp=drivesdk</t>
  </si>
  <si>
    <t>B1- CAERN CONDENADA POR SUSPENSÃO DE ÁGUA</t>
  </si>
  <si>
    <t>BOLETIM_RADIO_TJRN_04_03_2026_B1_CAERN_CONDENADA_POR_SUSPENSAO_DE_AGUA</t>
  </si>
  <si>
    <t>https://docs.google.com/document/d/1PT2UhhVf7jOWy72N6aTi52DKV4qtVmvGIjDht0lBCsY/edit?usp=drivesdk</t>
  </si>
  <si>
    <t xml:space="preserve">B10- TJRN CURSO ESTRATÉGICO SEGURANÇA </t>
  </si>
  <si>
    <t>BOLETIM_RADIO_TJRN_03_03_2026_B10_TJRN_CURSO_ESTRATEGICO_SEGURANCA_</t>
  </si>
  <si>
    <t>https://docs.google.com/document/d/1IkQHY7xdpZgQKzTdlSoTicOUTNui3uPatTteXxa_pCA/edit?usp=drivesdk</t>
  </si>
  <si>
    <t>B9 - PAGAMENTO PASSAGENS INTERMUNICIPAL</t>
  </si>
  <si>
    <t>BOLETIM_RADIO_TJRN_03_03_2026_B9_PAGAMENTO_PASSAGENS_INTERMUNICIPAL</t>
  </si>
  <si>
    <t>https://docs.google.com/document/d/15oPz3Vf9g7BQJp2StBgn95AHMcH_TVggMplPFghvNhE/edit?usp=drivesdk</t>
  </si>
  <si>
    <t>B8 - AMPLIAÇÃO SALAS DEPOIMENTO ESPECIAL</t>
  </si>
  <si>
    <t>BOLETIM_RADIO_TJRN_03_03_2026_B8_AMPLIACAO_SALAS_DEPOIMENTO_ESPECIAL</t>
  </si>
  <si>
    <t>https://docs.google.com/document/d/1R2niGGHasE0rrs1Cc_kCudfY6V6RNcLow_7DO3P4Isc/edit?usp=drivesdk</t>
  </si>
  <si>
    <t>B7 - CONDENAÇÃO RESPONSABILIDADE SOLIDÁRIA</t>
  </si>
  <si>
    <t>BOLETIM_RADIO_TJRN_03_03_2026_B7_CONDENACAO_RESPONSABILIDADE_SOLIDARIA</t>
  </si>
  <si>
    <t>https://docs.google.com/document/d/1vIZeq9ufAZxMOfKH9wvDgFGv8IMgK9dIVRO97uJqx5Q/edit?usp=drivesdk</t>
  </si>
  <si>
    <t>B6 - CONDENAÇÃO FRAUDE LICITAÇÃO</t>
  </si>
  <si>
    <t>BOLETIM_RADIO_TJRN_03_03_2026_B6_CONDENACAO_FRAUDE_LICITACAO</t>
  </si>
  <si>
    <t>https://docs.google.com/document/d/1GUvh_yfZE9P38JvspHHv-Ic1pYD6yFfavye34qkq4q4/edit?usp=drivesdk</t>
  </si>
  <si>
    <t>B5 - CONVOCAÇÃO CONCURSO CAERN</t>
  </si>
  <si>
    <t>BOLETIM_RADIO_TJRN_03_03_2026_B5_CONVOCACAO_CONCURSO_CAERN</t>
  </si>
  <si>
    <t>https://docs.google.com/document/d/1oYHZT_MHUrnJICmeOTY9qMk0SZtMbZPcEkdKY6WG6Qg/edit?usp=drivesdk</t>
  </si>
  <si>
    <t>B4 - ESTÁGIO ENSINO MÉDIO</t>
  </si>
  <si>
    <t>BOLETIM_RADIO_TJRN_03_03_2026_B4_ESTAGIO_ENSINO_MEDIO</t>
  </si>
  <si>
    <t>https://docs.google.com/document/d/1dHMKxcwdBoagk66ECUL81cP2xEB-waEj9E45U3-FKKI/edit?usp=drivesdk</t>
  </si>
  <si>
    <t>B3 - CONDENAÇÃO FABRICANTE PNEUS</t>
  </si>
  <si>
    <t>BOLETIM_RADIO_TJRN_03_03_2026_B3_CONDENACAO_FABRICANTE_PNEUS</t>
  </si>
  <si>
    <t>https://docs.google.com/document/d/1DFgKjI5AYduDkqrZxxllQPpcq5mgBI6yiEt4fcyBX6Q/edit?usp=drivesdk</t>
  </si>
  <si>
    <t>B2 - CONVÊNIO DÉBITO PRECATÓRIOS</t>
  </si>
  <si>
    <t>BOLETIM_RADIO_TJRN_03_03_2026_B2_CONVENIO_DEBITO_PRECATORIOS</t>
  </si>
  <si>
    <t>https://docs.google.com/document/d/1fctIpCs0EJrH3_8d5vAcPkoa1yvDf0--rtT4NDY4zak/edit?usp=drivesdk</t>
  </si>
  <si>
    <t>B1- MINICURSO COMITÊ SAÚDE</t>
  </si>
  <si>
    <t>BOLETIM_RADIO_TJRN_03_03_2026_B1_MINICURSO_COMITE_SAUDE</t>
  </si>
  <si>
    <t>https://docs.google.com/document/d/13lwkoqvePYZICazsD_0uCHatIMHTjDGG_JYoiQDQYcA/edit?usp=drivesdk</t>
  </si>
  <si>
    <t>B10- TJRN PRIMEIRO TECNOLOGIA FOCO 2026</t>
  </si>
  <si>
    <t>BOLETIM_RADIO_TJRN_02_03_2026_B10_TJRN_PRIMEIRO_TECNOLOGIA_FOCO_2026</t>
  </si>
  <si>
    <t>https://docs.google.com/document/d/1cFKoiLiv8K6eSF-27wUQ47ISVy4JB-aDPNKd8jCANOQ/edit?usp=drivesdk</t>
  </si>
  <si>
    <t xml:space="preserve">B9- TJRN JUSTIÇA ELEVA PERCENTUAL ALIMENTOS </t>
  </si>
  <si>
    <t>BOLETIM_RADIO_TJRN_02_03_2026_B9_TJRN_JUSTICA_ELEVA_PERCENTUAL_ALIMENTOS_</t>
  </si>
  <si>
    <t>https://docs.google.com/document/d/1nRCa1KBAcYCfuwv5KsA3-uvu6ml1gAKtFrGkE6TTlbE/edit?usp=drivesdk</t>
  </si>
  <si>
    <t>B8- TJRN 2 VARA PARNAMIRIM ESTÁGIO</t>
  </si>
  <si>
    <t>BOLETIM_RADIO_TJRN_02_03_2026_B8_TJRN_2_VARA_PARNAMIRIM_ESTAGIO</t>
  </si>
  <si>
    <t>https://docs.google.com/document/d/1Yug9vkwid6Z8F0FT-Ftivfzcp7AX3E2aXD3-kzkqPPw/edit?usp=drivesdk</t>
  </si>
  <si>
    <t>B7- RESPONSÁVEL INTERINO CANGUARETAMA</t>
  </si>
  <si>
    <t>BOLETIM_RADIO_TJRN_02_03_2026_B7_RESPONSAVEL_INTERINO_CANGUARETAMA</t>
  </si>
  <si>
    <t>https://docs.google.com/document/d/13i-HEE_Al1mLLNQsRohFduVXXLqEwYOL_o2-rKJFP1g/edit?usp=drivesdk</t>
  </si>
  <si>
    <t>B6- CONDENAÇÃO EXTRAVIO BAGAGEM</t>
  </si>
  <si>
    <t>BOLETIM_RADIO_TJRN_02_03_2026_B6_CONDENACAO_EXTRAVIO_BAGAGEM</t>
  </si>
  <si>
    <t>https://docs.google.com/document/d/1p1cPAzwWe4GL73-oatcFurnRxnkt59rD0kibpZlwYU4/edit?usp=drivesdk</t>
  </si>
  <si>
    <t>B5- LICENÇA REMUNERADA JOÃO CÂMARA</t>
  </si>
  <si>
    <t>BOLETIM_RADIO_TJRN_02_03_2026_B5_LICENCA_REMUNERADA_JOAO_CAMARA</t>
  </si>
  <si>
    <t>https://docs.google.com/document/d/19K4k8hdkBHomjJStA0pXdkQ5H_C7v1uZTzLGxPF3jeg/edit?usp=drivesdk</t>
  </si>
  <si>
    <t>B4- CONDENAÇÃO SALÁRIO SEM  EXERCER FUNÇÃO</t>
  </si>
  <si>
    <t>BOLETIM_RADIO_TJRN_02_03_2026_B4_CONDENACAO_SALARIO_SEM_EXERCER_FUNCAO</t>
  </si>
  <si>
    <t>https://docs.google.com/document/d/1WIV5scKy2fi-BAJeTMAUwasMCN_3Lu-HVKOVYKoLSiI/edit?usp=drivesdk</t>
  </si>
  <si>
    <t>B3- SUSPENSÃO DESCONTO PENSÃO</t>
  </si>
  <si>
    <t>BOLETIM_RADIO_TJRN_02_03_2026_B3_SUSPENSAO_DESCONTO_PENSAO</t>
  </si>
  <si>
    <t>https://docs.google.com/document/d/1qemi6tlfLi5bewSG0f6ubqNfo0Lpp10rOWlPkCP-FIY/edit?usp=drivesdk</t>
  </si>
  <si>
    <t>B2- ACESSIBILIDADE CAPS PARNAMIRIM</t>
  </si>
  <si>
    <t>BOLETIM_RADIO_TJRN_02_03_2026_B2_ACESSIBILIDADE_CAPS_PARNAMIRIM</t>
  </si>
  <si>
    <t>https://docs.google.com/document/d/1sw7Cdj1lwDYZcZf2fzCq40Z4jm6ZXfB-FUeLUlxFkbg/edit?usp=drivesdk</t>
  </si>
  <si>
    <t xml:space="preserve">B1- TRE/RN ADQUIRE NOVAS CADEIRAS </t>
  </si>
  <si>
    <t>BOLETIM_RADIO_TJRN_02_03_2026_B1_TRERN_ADQUIRE_NOVAS_CADEIRAS_</t>
  </si>
  <si>
    <t>https://docs.google.com/document/d/1qiUvw1Q1kYlSHD5djgC_w9v8F_ouC-weT4IVOiyrtiw/edit?usp=drivesdk</t>
  </si>
  <si>
    <t>Última sincronização: 08/06/2026 14:15 • Sistema Rádio Web 2026</t>
  </si>
  <si>
    <t>Última sincronização: 08/06/2026 00:13 • Sistema Rádio Web 2026</t>
  </si>
  <si>
    <t>Última sincronização: 08/06/2026 02:14 • Sistema Rádio Web 2026</t>
  </si>
  <si>
    <t>Última sincronização: 08/06/2026 04:13 • Sistema Rádio Web 2026</t>
  </si>
  <si>
    <t>Última sincronização: 08/06/2026 06:14 • Sistema Rádio Web 2026</t>
  </si>
  <si>
    <t>Última sincronização: 08/06/2026 08:13 • Sistema Rádio Web 2026</t>
  </si>
  <si>
    <t>Última sincronização: 08/06/2026 10:17 • Sistema Rádio Web 2026</t>
  </si>
  <si>
    <t>Última sincronização: 08/06/2026 12:16 • Sistema Rádio Web 2026</t>
  </si>
  <si>
    <t>Última sincronização: 07/06/2026 04:13 • Sistema Rádio Web 2026</t>
  </si>
  <si>
    <t>Última sincronização: 07/06/2026 08:13 • Sistema Rádio Web 2026</t>
  </si>
  <si>
    <t>Última sincronização: 07/06/2026 10:14 • Sistema Rádio Web 2026</t>
  </si>
  <si>
    <t>Última sincronização: 07/06/2026 14:13 • Sistema Rádio Web 2026</t>
  </si>
  <si>
    <t>Última sincronização: 07/06/2026 18:14 • Sistema Rádio Web 2026</t>
  </si>
  <si>
    <t>Última sincronização: 07/06/2026 20:13 • Sistema Rádio Web 2026</t>
  </si>
  <si>
    <t>Última sincronização: 07/06/2026 22:13 • Sistema Rádio Web 2026</t>
  </si>
  <si>
    <t>Última sincronização: 06/06/2026 00:13 • Sistema Rádio Web 2026</t>
  </si>
  <si>
    <t>Última sincronização: 06/06/2026 02:14 • Sistema Rádio Web 2026</t>
  </si>
  <si>
    <t>Última sincronização: 06/06/2026 06:14 • Sistema Rádio Web 2026</t>
  </si>
  <si>
    <t>Última sincronização: 06/06/2026 10:14 • Sistema Rádio Web 2026</t>
  </si>
  <si>
    <t>Última sincronização: 06/06/2026 12:14 • Sistema Rádio Web 2026</t>
  </si>
  <si>
    <t>Última sincronização: 06/06/2026 16:14 • Sistema Rádio Web 2026</t>
  </si>
  <si>
    <t>Última sincronização: 06/06/2026 18:14 • Sistema Rádio Web 2026</t>
  </si>
  <si>
    <t>Última sincronização: 05/06/2026 00:13 • Sistema Rádio Web 2026</t>
  </si>
  <si>
    <t>Última sincronização: 05/06/2026 04:13 • Sistema Rádio Web 2026</t>
  </si>
  <si>
    <t>Última sincronização: 05/06/2026 08:13 • Sistema Rádio Web 2026</t>
  </si>
  <si>
    <t>Última sincronização: 05/06/2026 10:15 • Sistema Rádio Web 2026</t>
  </si>
  <si>
    <t>Última sincronização: 05/06/2026 12:13 • Sistema Rádio Web 2026</t>
  </si>
  <si>
    <t>Última sincronização: 05/06/2026 14:16 • Sistema Rádio Web 2026</t>
  </si>
  <si>
    <t>Última sincronização: 05/06/2026 16:14 • Sistema Rádio Web 2026</t>
  </si>
  <si>
    <t>Última sincronização: 05/06/2026 18:15 • Sistema Rádio Web 2026</t>
  </si>
  <si>
    <t>Última sincronização: 05/06/2026 22:14 • Sistema Rádio Web 2026</t>
  </si>
  <si>
    <t>Última sincronização: 04/06/2026 00:13 • Sistema Rádio Web 2026</t>
  </si>
  <si>
    <t>Última sincronização: 04/06/2026 04:14 • Sistema Rádio Web 2026</t>
  </si>
  <si>
    <t>Última sincronização: 04/06/2026 06:13 • Sistema Rádio Web 2026</t>
  </si>
  <si>
    <t>Última sincronização: 04/06/2026 08:13 • Sistema Rádio Web 2026</t>
  </si>
  <si>
    <t>Última sincronização: 04/06/2026 12:14 • Sistema Rádio Web 2026</t>
  </si>
  <si>
    <t>Última sincronização: 04/06/2026 14:14 • Sistema Rádio Web 2026</t>
  </si>
  <si>
    <t>Última sincronização: 04/06/2026 16:14 • Sistema Rádio Web 2026</t>
  </si>
  <si>
    <t>Última sincronização: 04/06/2026 20:14 • Sistema Rádio Web 2026</t>
  </si>
  <si>
    <t>Última sincronização: 04/06/2026 22:13 • Sistema Rádio Web 2026</t>
  </si>
  <si>
    <t>Última sincronização: 03/06/2026 00:13 • Sistema Rádio Web 2026</t>
  </si>
  <si>
    <t>Última sincronização: 03/06/2026 02:15 • Sistema Rádio Web 2026</t>
  </si>
  <si>
    <t>Última sincronização: 03/06/2026 04:16 • Sistema Rádio Web 2026</t>
  </si>
  <si>
    <t>Última sincronização: 03/06/2026 06:14 • Sistema Rádio Web 2026</t>
  </si>
  <si>
    <t>Última sincronização: 03/06/2026 08:14 • Sistema Rádio Web 2026</t>
  </si>
  <si>
    <t>Última sincronização: 03/06/2026 12:16 • Sistema Rádio Web 2026</t>
  </si>
  <si>
    <t>Última sincronização: 03/06/2026 14:14 • Sistema Rádio Web 2026</t>
  </si>
  <si>
    <t>Última sincronização: 03/06/2026 16:14 • Sistema Rádio Web 2026</t>
  </si>
  <si>
    <t>Última sincronização: 03/06/2026 18:13 • Sistema Rádio Web 2026</t>
  </si>
  <si>
    <t>Última sincronização: 03/06/2026 20:17 • Sistema Rádio Web 2026</t>
  </si>
  <si>
    <t>Última sincronização: 03/06/2026 22:13 • Sistema Rádio Web 2026</t>
  </si>
  <si>
    <t>Última sincronização: 02/06/2026 00:13 • Sistema Rádio Web 2026</t>
  </si>
  <si>
    <t>Última sincronização: 02/06/2026 02:16 • Sistema Rádio Web 2026</t>
  </si>
  <si>
    <t>Última sincronização: 02/06/2026 04:13 • Sistema Rádio Web 2026</t>
  </si>
  <si>
    <t>Última sincronização: 02/06/2026 06:13 • Sistema Rádio Web 2026</t>
  </si>
  <si>
    <t>Última sincronização: 02/06/2026 08:16 • Sistema Rádio Web 2026</t>
  </si>
  <si>
    <t>Última sincronização: 02/06/2026 10:17 • Sistema Rádio Web 2026</t>
  </si>
  <si>
    <t>Última sincronização: 02/06/2026 12:15 • Sistema Rádio Web 2026</t>
  </si>
  <si>
    <t>Última sincronização: 02/06/2026 14:15 • Sistema Rádio Web 2026</t>
  </si>
  <si>
    <t>Última sincronização: 02/06/2026 16:13 • Sistema Rádio Web 2026</t>
  </si>
  <si>
    <t>Última sincronização: 02/06/2026 18:15 • Sistema Rádio Web 2026</t>
  </si>
  <si>
    <t>Última sincronização: 02/06/2026 20:13 • Sistema Rádio Web 2026</t>
  </si>
  <si>
    <t>Última sincronização: 02/06/2026 22:13 • Sistema Rádio Web 2026</t>
  </si>
  <si>
    <t>Última sincronização: 01/06/2026 09:54 • Sistema Rádio Web 2026</t>
  </si>
  <si>
    <t>Última sincronização: 01/06/2026 12:13 • Sistema Rádio Web 2026</t>
  </si>
  <si>
    <t>Última sincronização: 01/06/2026 14:16 • Sistema Rádio Web 2026</t>
  </si>
  <si>
    <t>Última sincronização: 01/06/2026 16:13 • Sistema Rádio Web 2026</t>
  </si>
  <si>
    <t>Última sincronização: 01/06/2026 18:15 • Sistema Rádio Web 2026</t>
  </si>
  <si>
    <t>Última sincronização: 01/06/2026 20:13 • Sistema Rádio Web 2026</t>
  </si>
  <si>
    <t>Última sincronização: 01/06/2026 22:13 • Sistema Rádio Web 2026</t>
  </si>
  <si>
    <t>B10- ESMARN NOVO SITE</t>
  </si>
  <si>
    <t>BOLETIM_RADIO_TJRN_27_02_2026_B10_ESMARN_NOVO_SITE</t>
  </si>
  <si>
    <t>https://docs.google.com/document/d/14FjBl40XbPpopBos0cH6XE0eGLuws1oetmXxMcNNstU/edit?usp=drivesdk</t>
  </si>
  <si>
    <t xml:space="preserve">B9- TRT/RN TRIBUNAIS CONVÊNIO </t>
  </si>
  <si>
    <t>BOLETIM_RADIO_TJRN_27_02_2026_B9_TRTRN_TRIBUNAIS_CONVENIO_</t>
  </si>
  <si>
    <t>https://docs.google.com/document/d/1vsrpQWUWSfuaZzgC8jBTQj755OiGkNStlg4gjwJwwSk/edit?usp=drivesdk</t>
  </si>
  <si>
    <t xml:space="preserve">B8- MPRN OPERAÇÃO CENTRO TERAPÊUTICO </t>
  </si>
  <si>
    <t>BOLETIM_RADIO_TJRN_27_02_2026_B8_MPRN_OPERACAO_CENTRO_TERAPEUTICO_</t>
  </si>
  <si>
    <t>https://docs.google.com/document/d/1hCz2ViUsoN7v_JiDONCJim93JFpl0EbzwsddWzsadKc/edit?usp=drivesdk</t>
  </si>
  <si>
    <t>B7 - ABERTURA ESTÁGIO CURRAIS NOVOS</t>
  </si>
  <si>
    <t>BOLETIM_RADIO_TJRN_27_02_2026_B7_ABERTURA_ESTAGIO_CURRAIS_NOVOS</t>
  </si>
  <si>
    <t>https://docs.google.com/document/d/1He0C28X4dnJvRpnaH-EfOeQAPcNaOOUS86W5D1abFKo/edit?usp=drivesdk</t>
  </si>
  <si>
    <t>B6 - ABERTURA ESTÁGIO 20 NATAL</t>
  </si>
  <si>
    <t>BOLETIM_RADIO_TJRN_27_02_2026_B6_ABERTURA_ESTAGIO_20_NATAL</t>
  </si>
  <si>
    <t>https://docs.google.com/document/d/18BwTC1bY-uIpvWQCDyiUzKzwYkspgNwW7sR3gHL_orI/edit?usp=drivesdk</t>
  </si>
  <si>
    <t>B5 - PERFIL DE VENDAS DEVE SER REATIVADO</t>
  </si>
  <si>
    <t>BOLETIM_RADIO_TJRN_27_02_2026_B5_PERFIL_DE_VENDAS_DEVE_SER_REATIVADO</t>
  </si>
  <si>
    <t>https://docs.google.com/document/d/1YMXfSzgjC5dlTvGQ5FEvWWKP1SKfMDhC5AVX-v3xcno/edit?usp=drivesdk</t>
  </si>
  <si>
    <t>B4 - JUSTIÇA REABRE PREGÃO ELETRÔNICO NATAL</t>
  </si>
  <si>
    <t>BOLETIM_RADIO_TJRN_27_02_2026_B4_JUSTICA_REABRE_PREGAO_ELETRONICO_NATAL</t>
  </si>
  <si>
    <t>https://docs.google.com/document/d/1FvpqbpJ6bb78Vkm6CLVGgVZfog8mkVxhdJrYb2bpluY/edit?usp=drivesdk</t>
  </si>
  <si>
    <t>B3 - JÚRI HOMICÍDIO TRÂNSITO</t>
  </si>
  <si>
    <t>BOLETIM_RADIO_TJRN_27_02_2026_B3_JURI_HOMICIDIO_TRANSITO</t>
  </si>
  <si>
    <t>https://docs.google.com/document/d/1dwBrRaKamdeD9mWKdJa1x62hcHeBWlNgCTHLnBANe8E/edit?usp=drivesdk</t>
  </si>
  <si>
    <t>B2 - IMPROBIDADE CONTRATO IGREJA</t>
  </si>
  <si>
    <t>BOLETIM_RADIO_TJRN_27_02_2026_B2_IMPROBIDADE_CONTRATO_IGREJA</t>
  </si>
  <si>
    <t>https://docs.google.com/document/d/1Y0RR1QgUuxTP_5gefGZXXpPpEAk0h_e8wVjEc4i0w7Y/edit?usp=drivesdk</t>
  </si>
  <si>
    <t>B1 - HOMICÍDIO DÍVIDA JÚRI</t>
  </si>
  <si>
    <t>BOLETIM_RADIO_TJRN_27_02_2026_B1_HOMICIDIO_DIVIDA_JURI</t>
  </si>
  <si>
    <t>https://docs.google.com/document/d/1Z0dGlB5eFlFwN8Up2AyXiXEgOeEhzCkohVAQ1xeODqg/edit?usp=drivesdk</t>
  </si>
  <si>
    <t xml:space="preserve">B10 - INDENIZAÇÃO PATINETE ELÉTRICO </t>
  </si>
  <si>
    <t>BOLETIM_RADIO_TJRN_26_02_2026_B10_INDENIZACAO_PATINETE_ELETRICO_</t>
  </si>
  <si>
    <t>https://docs.google.com/document/d/1x7vGhVkyeVmWha-Ldiu52ThpOMLotWp1pbvNbRmbpz0/edit?usp=drivesdk</t>
  </si>
  <si>
    <t>B9 - MEDICAMENTO ANEMIA FALCIFORME</t>
  </si>
  <si>
    <t>BOLETIM_RADIO_TJRN_26_02_2026_B9_MEDICAMENTO_ANEMIA_FALCIFORME</t>
  </si>
  <si>
    <t>https://docs.google.com/document/d/1ChpoUYYUhto3NP_n2QAloYPE0rs7ZTYvbeOZEa9g7r0/edit?usp=drivesdk</t>
  </si>
  <si>
    <t>B8 - CARTILHA JULGAMENTO PERSPECTIVA DE GÊNERO</t>
  </si>
  <si>
    <t>BOLETIM_RADIO_TJRN_26_02_2026_B8_CARTILHA_JULGAMENTO_PERSPECTIVA_DE_GENERO</t>
  </si>
  <si>
    <t>https://docs.google.com/document/d/1jjr7YEBTt-7-GkIwgkd7THz79bTginPpOu7xtV8lE_s/edit?usp=drivesdk</t>
  </si>
  <si>
    <t>B7 - MEDIDA PROTETIVA RELAÇÃO HOMOAFETIVA</t>
  </si>
  <si>
    <t>BOLETIM_RADIO_TJRN_26_02_2026_B7_MEDIDA_PROTETIVA_RELACAO_HOMOAFETIVA</t>
  </si>
  <si>
    <t>https://docs.google.com/document/d/1mhXGyqaLRcshGg9L_FD6ZHECNZkMsU4rBAsz8mR1kkg/edit?usp=drivesdk</t>
  </si>
  <si>
    <t>B6 - SESSÃO HÍBRIDA CRIMINAL 2-03</t>
  </si>
  <si>
    <t>BOLETIM_RADIO_TJRN_26_02_2026_B6_SESSAO_HIBRIDA_CRIMINAL_2_03</t>
  </si>
  <si>
    <t>https://docs.google.com/document/d/1gLLAfepNSTyYTyge5qlgAZjH1tGkhajo96uhGXtmdYQ/edit?usp=drivesdk</t>
  </si>
  <si>
    <t>B5 - DANOS MORAIS VENDA VEÍCULO</t>
  </si>
  <si>
    <t>BOLETIM_RADIO_TJRN_26_02_2026_B5_DANOS_MORAIS_VENDA_VEICULO</t>
  </si>
  <si>
    <t>https://docs.google.com/document/d/1uTowIERrlk8Gof5zylmMmoSamaiJ3kZBExI1okBkX-0/edit?usp=drivesdk</t>
  </si>
  <si>
    <t xml:space="preserve">B4- TJRN PEDIDO PENSÃO PROVISÓRIA </t>
  </si>
  <si>
    <t>BOLETIM_RADIO_TJRN_26_02_2026_B4_TJRN_PEDIDO_PENSAO_PROVISORIA_</t>
  </si>
  <si>
    <t>https://docs.google.com/document/d/1yjo-Ryab1FNgCBhBmd3mvPFga3jSwugpslpB-vvtNM4/edit?usp=drivesdk</t>
  </si>
  <si>
    <t>B3- TJRN REDE SOCIAL DEVE EXCLUIR</t>
  </si>
  <si>
    <t>BOLETIM_RADIO_TJRN_26_02_2026_B3_TJRN_REDE_SOCIAL_DEVE_EXCLUIR</t>
  </si>
  <si>
    <t>https://docs.google.com/document/d/1aaoAo7HbjwiouUkjOFzz2UBCpZ_SD_EFfCSoTVyxJYw/edit?usp=drivesdk</t>
  </si>
  <si>
    <t xml:space="preserve">B2- TJRN MANTIDA SENTENÇA APLICADA </t>
  </si>
  <si>
    <t>BOLETIM_RADIO_TJRN_26_02_2026_B2_TJRN_MANTIDA_SENTENCA_APLICADA_</t>
  </si>
  <si>
    <t>https://docs.google.com/document/d/1s3B1BboVMD_tuz764QRKYd5Pf2vUNTV60uf7cr7TMEI/edit?usp=drivesdk</t>
  </si>
  <si>
    <t xml:space="preserve">B1- TJRN ESTADO REALIZE PROCEDIMENTO MÉDICO </t>
  </si>
  <si>
    <t>BOLETIM_RADIO_TJRN_26_02_2026_B1_TJRN_ESTADO_REALIZE_PROCEDIMENTO_MEDICO_</t>
  </si>
  <si>
    <t>https://docs.google.com/document/d/1VKzLa1HM2RmNab27bTZUdhJol4Tw1RxcajQlC3oE8yQ/edit?usp=drivesdk</t>
  </si>
  <si>
    <t>B10- TRE/RN REDE ENFRENTA DESINFORMAÇÃO</t>
  </si>
  <si>
    <t>BOLETIM_RADIO_TJRN_25_02_2026_B10_TRERN_REDE_ENFRENTA_DESINFORMACAO</t>
  </si>
  <si>
    <t>https://docs.google.com/document/d/1cyus2bAaPxeig0RvqG1757SUAYSzDZ3v9fh_3jBeDTU/edit?usp=drivesdk</t>
  </si>
  <si>
    <t xml:space="preserve">B9- TRT/RN EMPRESA CONDENADA EX-EMPREGADA DOMÉSTICA </t>
  </si>
  <si>
    <t>BOLETIM_RADIO_TJRN_25_02_2026_B9_TRTRN_EMPRESA_CONDENADA_EX_EMPREGADA_DOMESTICA_</t>
  </si>
  <si>
    <t>https://docs.google.com/document/d/10MHKbSQwNp4YZcMPVabcyImp6s4Yb2uC_7T4CtPRZUg/edit?usp=drivesdk</t>
  </si>
  <si>
    <t xml:space="preserve">B8- TJRN CONGRESSOS PRIMEIRA INSTÂNCIA </t>
  </si>
  <si>
    <t>BOLETIM_RADIO_TJRN_25_02_2026_B8_TJRN_CONGRESSOS_PRIMEIRA_INSTANCIA_</t>
  </si>
  <si>
    <t>https://docs.google.com/document/d/1GhNW-JN2uaAJqOpR9jciNM6yXurKtrZ01wauasgnN3A/edit?usp=drivesdk</t>
  </si>
  <si>
    <t>B7- TJRN BLOQUEIO 86 MIL</t>
  </si>
  <si>
    <t>BOLETIM_RADIO_TJRN_25_02_2026_B7_TJRN_BLOQUEIO_86_MIL</t>
  </si>
  <si>
    <t>https://docs.google.com/document/d/11Ti0Ctr2JcwzqjDd3mIh_ihqwbnydfCkZ9_8e7Nu3Xw/edit?usp=drivesdk</t>
  </si>
  <si>
    <t xml:space="preserve">B6- TJRN CORREGEDORIA PROCESSO SELETIVO </t>
  </si>
  <si>
    <t>BOLETIM_RADIO_TJRN_25_02_2026_B6_TJRN_CORREGEDORIA_PROCESSO_SELETIVO_</t>
  </si>
  <si>
    <t>https://docs.google.com/document/d/1r5chGHHZ51WybskvDsyrpofvWYvvM65rMG1ZAAZm244/edit?usp=drivesdk</t>
  </si>
  <si>
    <t xml:space="preserve">B5- TJRN EMPRESA VAREJISTA CONDENADA </t>
  </si>
  <si>
    <t>BOLETIM_RADIO_TJRN_25_02_2026_B5_TJRN_EMPRESA_VAREJISTA_CONDENADA_</t>
  </si>
  <si>
    <t>https://docs.google.com/document/d/1LM739PLiAtbINil6J_nf49Qm0Mey9XBJX7uRdVpnr5M/edit?usp=drivesdk</t>
  </si>
  <si>
    <t xml:space="preserve">B4- TJRN REDE SOCIAL BLOQUEIA CONTA ADVOGADO </t>
  </si>
  <si>
    <t>BOLETIM_RADIO_TJRN_25_02_2026_B4_TJRN_REDE_SOCIAL_BLOQUEIA_CONTA_ADVOGADO_</t>
  </si>
  <si>
    <t>https://docs.google.com/document/d/1aYjdgmy6Or50dBv3NQ9h5AojWKuROAY7D3jaCJPGWJc/edit?usp=drivesdk</t>
  </si>
  <si>
    <t>B3- TJRN JULGA IMPROCEDENTE FRAUDES</t>
  </si>
  <si>
    <t>BOLETIM_RADIO_TJRN_25_02_2026_B3_TJRN_JULGA_IMPROCEDENTE_FRAUDES</t>
  </si>
  <si>
    <t>https://docs.google.com/document/d/1RcL5TgkAzNzoHTOOJEUZR8_jmN1ygHxeNzPoqllGXu0/edit?usp=drivesdk</t>
  </si>
  <si>
    <t xml:space="preserve">B2- TJRN MANTÉM LEI MUNICIPAL </t>
  </si>
  <si>
    <t>BOLETIM_RADIO_TJRN_25_02_2026_B2_TJRN_MANTEM_LEI_MUNICIPAL_</t>
  </si>
  <si>
    <t>https://docs.google.com/document/d/1QfTCpOilbwsxzV0iY5K0vJR4ii0ohQMntb2qF2UUsIU/edit?usp=drivesdk</t>
  </si>
  <si>
    <t>B1- TJRN NEGA ATO IMPROBIDADE</t>
  </si>
  <si>
    <t>BOLETIM_RADIO_TJRN_25_02_2026_B1_TJRN_NEGA_ATO_IMPROBIDADE</t>
  </si>
  <si>
    <t>https://docs.google.com/document/d/1BG-pgGGZmpD8wD1saA6-kbfaEg5xNXrUTQFBkyr8BC0/edit?usp=drivesdk</t>
  </si>
  <si>
    <t>B10- ESMARN ATUALIZAÇÃO SITE</t>
  </si>
  <si>
    <t>BOLETIM_RADIO_TJRN_24_02_2026_B10_ESMARN_ATUALIZACAO_SITE</t>
  </si>
  <si>
    <t>https://docs.google.com/document/d/12johTNBSzRDCa3ZtBYEglB-vMpG0IhNFvHHDt8usUaQ/edit?usp=drivesdk</t>
  </si>
  <si>
    <t xml:space="preserve">B9- MPRN UFRN SEMINÁRIO POLÍTICAS PÚBLICAS </t>
  </si>
  <si>
    <t>BOLETIM_RADIO_TJRN_24_02_2026_B9_MPRN_UFRN_SEMINARIO_POLITICAS_PUBLICAS_</t>
  </si>
  <si>
    <t>https://docs.google.com/document/d/14m8wHGsZDGrOqyTxwhCkkW4NvrJJgvZOHrwRsgk1cfE/edit?usp=drivesdk</t>
  </si>
  <si>
    <t>B8- CNJ PRAZO ENVIO CONTRIBUIÇÕES</t>
  </si>
  <si>
    <t>BOLETIM_RADIO_TJRN_24_02_2026_B8_CNJ_PRAZO_ENVIO_CONTRIBUICOES</t>
  </si>
  <si>
    <t>https://docs.google.com/document/d/1kweS3OepC6s83bPH2_SQ24jT9Q8QgYpIGyHLezmuXMk/edit?usp=drivesdk</t>
  </si>
  <si>
    <t xml:space="preserve">B7- ESMARN CURSO PLANILHAS ELETRÔNICAS </t>
  </si>
  <si>
    <t>BOLETIM_RADIO_TJRN_24_02_2026_B7_ESMARN_CURSO_PLANILHAS_ELETRONICAS_</t>
  </si>
  <si>
    <t>https://docs.google.com/document/d/1He5YJoamXZ7fDTtbqhokBS1Vu2a1rBZW0SQ4qQkoesg/edit?usp=drivesdk</t>
  </si>
  <si>
    <t xml:space="preserve">B6- VARA FAMILIA ESTÁGIO </t>
  </si>
  <si>
    <t>BOLETIM_RADIO_TJRN_24_02_2026_B6_VARA_FAMILIA_ESTAGIO_</t>
  </si>
  <si>
    <t>https://docs.google.com/document/d/13fv4izyX4rk0OV2p-JTva0Qy9XB4ekmzywkH_R5VS88/edit?usp=drivesdk</t>
  </si>
  <si>
    <t>B5- TJRN PARTICIPAÇÃO EMPRESA SAÚDE</t>
  </si>
  <si>
    <t>BOLETIM_RADIO_TJRN_24_02_2026_B5_TJRN_PARTICIPACAO_EMPRESA_SAUDE</t>
  </si>
  <si>
    <t>https://docs.google.com/document/d/1PP6p8Y4RMQS_lIvd9PfsHxF3NkNgaKTaGAB8ATgS8Lo/edit?usp=drivesdk</t>
  </si>
  <si>
    <t xml:space="preserve">B4- TJRN IMOBILIÁRIA CONDENADA </t>
  </si>
  <si>
    <t>BOLETIM_RADIO_TJRN_24_02_2026_B4_TJRN_IMOBILIARIA_CONDENADA_</t>
  </si>
  <si>
    <t>https://docs.google.com/document/d/1IVTC-i1DD4UwZAPRZADhKj_L7ulL1dKb9ZD-og9mF6k/edit?usp=drivesdk</t>
  </si>
  <si>
    <t xml:space="preserve">B3- TJRN MANTÉM DECISÃO NOMEAÇÃO  </t>
  </si>
  <si>
    <t>BOLETIM_RADIO_TJRN_24_02_2026_B3_TJRN_MANTEM_DECISAO_NOMEACAO_</t>
  </si>
  <si>
    <t>https://docs.google.com/document/d/1tyxtpRSWBOqOqxkSr6tp3oKiCdew6O40DRx5ovHXEOc/edit?usp=drivesdk</t>
  </si>
  <si>
    <t xml:space="preserve">B2- TJRN ACOLHE APELO MP </t>
  </si>
  <si>
    <t>BOLETIM_RADIO_TJRN_24_02_2026_B2_TJRN_ACOLHE_APELO_MP_</t>
  </si>
  <si>
    <t>https://docs.google.com/document/d/1wN8ikP1sPV93CbF-miMdaNAm3fMk44ImydTK91Ebq2o/edit?usp=drivesdk</t>
  </si>
  <si>
    <t xml:space="preserve">B1- TJRN SÃO JOSÉ PROCESSO SELETIVO </t>
  </si>
  <si>
    <t>BOLETIM_RADIO_TJRN_24_02_2026_B1_TJRN_SAO_JOSE_PROCESSO_SELETIVO_</t>
  </si>
  <si>
    <t>https://docs.google.com/document/d/1QQn5PEiWR2neS5WHIgt0htBkanUAQ1rTyIhBlJnV8ew/edit?usp=drivesdk</t>
  </si>
  <si>
    <t>B10- CONDENAÇÃO FALSO TERAPEUTA</t>
  </si>
  <si>
    <t>BOLETIM_RADIO_TJRN_23_02_2026_B10_CONDENACAO_FALSO_TERAPEUTA</t>
  </si>
  <si>
    <t>https://docs.google.com/document/d/130ig_920U8ktpzuKMDPX89KK7il5j7udA14oQU3Yiss/edit?usp=drivesdk</t>
  </si>
  <si>
    <t>B9- INDENIZAÇÃO FALHAS PANO SAÚDE</t>
  </si>
  <si>
    <t>BOLETIM_RADIO_TJRN_23_02_2026_B9_INDENIZACAO_FALHAS_PANO_SAUDE</t>
  </si>
  <si>
    <t>https://docs.google.com/document/d/1tT1cekfKE9zkDHQPRyXPgn4YPpu_n44w7mih4Ri4fW4/edit?usp=drivesdk</t>
  </si>
  <si>
    <t>B8- COSERN DANOS MORAIS</t>
  </si>
  <si>
    <t>BOLETIM_RADIO_TJRN_23_02_2026_B8_COSERN_DANOS_MORAIS</t>
  </si>
  <si>
    <t>https://docs.google.com/document/d/1HuWnVphcSOVLNbw7Fcns24h4tMz4Rz9em6Slpyz3_sY/edit?usp=drivesdk</t>
  </si>
  <si>
    <t>B7- DANOS MORAIS ATRASO VOO</t>
  </si>
  <si>
    <t>BOLETIM_RADIO_TJRN_23_02_2026_B7_DANOS_MORAIS_ATRASO_VOO</t>
  </si>
  <si>
    <t>https://docs.google.com/document/d/1b6bpG53rTP1ccmCbDyVpwNkCXv-rAi320GEa2AUs0vg/edit?usp=drivesdk</t>
  </si>
  <si>
    <t>B6- FORNECIMENTO ENERGIA ESCOLAS</t>
  </si>
  <si>
    <t>BOLETIM_RADIO_TJRN_23_02_2026_B6_FORNECIMENTO_ENERGIA_ESCOLAS</t>
  </si>
  <si>
    <t>https://docs.google.com/document/d/11VUV3LtrD4dgnWlQU8NyYpA74PmiqzaTPBFQM4NvyNI/edit?usp=drivesdk</t>
  </si>
  <si>
    <t>B5- ESTÁGIO CEJUSC CURRAIS NOVOS</t>
  </si>
  <si>
    <t>BOLETIM_RADIO_TJRN_23_02_2026_B5_ESTAGIO_CEJUSC_CURRAIS_NOVOS</t>
  </si>
  <si>
    <t>https://docs.google.com/document/d/1E6gGp-rf27d6mY78sTsx1QB_L2T3yF13tTyFc_eoBEI/edit?usp=drivesdk</t>
  </si>
  <si>
    <t>B4- TJRN SEMANA MULHER 2026</t>
  </si>
  <si>
    <t>BOLETIM_RADIO_TJRN_23_02_2026_B4_TJRN_SEMANA_MULHER_2026</t>
  </si>
  <si>
    <t>https://docs.google.com/document/d/16XreyLWEoyz23l7B2fRziWZFhmNApi3GrEFn3ZR0vLY/edit?usp=drivesdk</t>
  </si>
  <si>
    <t>B3- TJRN PLANO SAÚDE CUSTEAR TRATAMENTO</t>
  </si>
  <si>
    <t>BOLETIM_RADIO_TJRN_23_02_2026_B3_TJRN_PLANO_SAUDE_CUSTEAR_TRATAMENTO</t>
  </si>
  <si>
    <t>https://docs.google.com/document/d/1pjHR5byiQYqcjj7XSN4He2br4qsKSX3gpfL5aQ2aFDw/edit?usp=drivesdk</t>
  </si>
  <si>
    <t xml:space="preserve">B2- TJRN MULHER CONDENADA DETENÇÃO </t>
  </si>
  <si>
    <t>BOLETIM_RADIO_TJRN_23_02_2026_B2_TJRN_MULHER_CONDENADA_DETENCAO_</t>
  </si>
  <si>
    <t>https://docs.google.com/document/d/1OaYskhXH-m-t_FNMWa9EBtW7MEUTawbuq71G_9LQQuY/edit?usp=drivesdk</t>
  </si>
  <si>
    <t>B1- TJRN LAUDO MÉDICO ASSISTENTE</t>
  </si>
  <si>
    <t>BOLETIM_RADIO_TJRN_23_02_2026_B1_TJRN_LAUDO_MEDICO_ASSISTENTE</t>
  </si>
  <si>
    <t>https://docs.google.com/document/d/1TSN8-wzSmsacOutT0RJ-6QOH_4sWSrHX8raS3u_NXZ4/edit?usp=drivesdk</t>
  </si>
  <si>
    <t xml:space="preserve">B10- MPRN CAPACITAÇÃO PROMOÇÃO GESTÃO MUNICIPAL </t>
  </si>
  <si>
    <t>BOLETIM_RADIO_TJRN_20_02_2026_B10_MPRN_CAPACITACAO_PROMOCAO_GESTAO_MUNICIPAL_</t>
  </si>
  <si>
    <t>https://docs.google.com/document/d/19kncUQVTn5UxkZucpLB-CT1TRCdgT-i-U5u9kGBwM1I/edit?usp=drivesdk</t>
  </si>
  <si>
    <t>B9- TRT/RN REVERTIDA DEMISSÃO JUSTA CAUSA</t>
  </si>
  <si>
    <t>BOLETIM_RADIO_TJRN_20_02_2026_B9_TRTRN_REVERTIDA_DEMISSAO_JUSTA_CAUSA</t>
  </si>
  <si>
    <t>https://docs.google.com/document/d/18ThMJETSgGD2P4RQAiPOA-2jxxjvHQg-0vjioCWVH4c/edit?usp=drivesdk</t>
  </si>
  <si>
    <t xml:space="preserve">B8- DPERN NUCLEO MACAÍBA PROCESSO SELETIVO </t>
  </si>
  <si>
    <t>BOLETIM_RADIO_TJRN_20_02_2026_B8_DPERN_NUCLEO_MACAIBA_PROCESSO_SELETIVO_</t>
  </si>
  <si>
    <t>https://docs.google.com/document/d/1Ot_ZOO09TTERz_o5QJ1TTYZ5N8u8SQOGxXknxGX2B0o/edit?usp=drivesdk</t>
  </si>
  <si>
    <t>B7- DPERN DECISÃO PROFISSIONAL APOIO</t>
  </si>
  <si>
    <t>BOLETIM_RADIO_TJRN_20_02_2026_B7_DPERN_DECISAO_PROFISSIONAL_APOIO</t>
  </si>
  <si>
    <t>https://docs.google.com/document/d/1Qp6e-dvLBJjgYSqdbfEBGFSPFtilPrJqNGJ0Fwc2gEE/edit?usp=drivesdk</t>
  </si>
  <si>
    <t xml:space="preserve">B6- TJRN SANTA MARIA AREA LIXÃO </t>
  </si>
  <si>
    <t>BOLETIM_RADIO_TJRN_20_02_2026_B6_TJRN_SANTA_MARIA_AREA_LIXAO_</t>
  </si>
  <si>
    <t>https://docs.google.com/document/d/1DtPcRYyFvQBVmMX24OO1b5MTscscauu0zMpGMXsLnOI/edit?usp=drivesdk</t>
  </si>
  <si>
    <t xml:space="preserve">B5- TJRN PREFEITO CIDADE CONDENADO </t>
  </si>
  <si>
    <t>BOLETIM_RADIO_TJRN_20_02_2026_B5_TJRN_PREFEITO_CIDADE_CONDENADO_</t>
  </si>
  <si>
    <t>https://docs.google.com/document/d/1ibSW16g1LqQj0JLuC8eILODhGmIhmEy5qrlST4fpjmU/edit?usp=drivesdk</t>
  </si>
  <si>
    <t xml:space="preserve">B4- TJRN MANTIDO JÚRI ACUSADO TRÊS HOMICÍDIOS </t>
  </si>
  <si>
    <t>BOLETIM_RADIO_TJRN_20_02_2026_B4_TJRN_MANTIDO_JURI_ACUSADO_TRES_HOMICIDIOS_</t>
  </si>
  <si>
    <t>https://docs.google.com/document/d/1bTu3vblxjN5ulHIaoUgO6cTVCgv-wu75LvOybYmGrZI/edit?usp=drivesdk</t>
  </si>
  <si>
    <t>B3- TJRN RECONHECE DIREITO ISENÇÃO IPVA</t>
  </si>
  <si>
    <t>BOLETIM_RADIO_TJRN_20_02_2026_B3_TJRN_RECONHECE_DIREITO_ISENCAO_IPVA</t>
  </si>
  <si>
    <t>https://docs.google.com/document/d/1eiT0eXMg1TbEZDkSBxRDBsaeSPFG55fCOqskGQVjR70/edit?usp=drivesdk</t>
  </si>
  <si>
    <t>B2- TJRN HOMEM AGREDIU COLEGA TIJOLO</t>
  </si>
  <si>
    <t>BOLETIM_RADIO_TJRN_20_02_2026_B2_TJRN_HOMEM_AGREDIU_COLEGA_TIJOLO</t>
  </si>
  <si>
    <t>https://docs.google.com/document/d/1oVTTHY5xruPzbcGBHUiRTWhhCdwVv51j-IwWFloDutk/edit?usp=drivesdk</t>
  </si>
  <si>
    <t xml:space="preserve">B1- TJRN EMPRESAS EVENTOS CONDENADAS </t>
  </si>
  <si>
    <t>BOLETIM_RADIO_TJRN_20_02_2026_B1_TJRN_EMPRESAS_EVENTOS_CONDENADAS_</t>
  </si>
  <si>
    <t>https://docs.google.com/document/d/1FKDJWWxYgD_qPttTcH0BLks5T150vcr9rcxgXlt39DA/edit?usp=drivesdk</t>
  </si>
  <si>
    <t>B10- INDENIZAÇÃO CANCELAMENTO VOO</t>
  </si>
  <si>
    <t>BOLETIM_RADIO_TJRN_19_02_2026_B10_INDENIZACAO_CANCELAMENTO_VOO</t>
  </si>
  <si>
    <t>https://docs.google.com/document/d/1kQjIc3SL0TDRz5VQWR8QQV4tP6ydmNwViK3pAdNWIiU/edit?usp=drivesdk</t>
  </si>
  <si>
    <t>B9- VISITA TÉCNICA COMISSÃO FUNDIÁRIA</t>
  </si>
  <si>
    <t>BOLETIM_RADIO_TJRN_19_02_2026_B9_VISITA_TECNICA_COMISSAO_FUNDIARIA</t>
  </si>
  <si>
    <t>https://docs.google.com/document/d/1HuGhN69Plc63hzs3Mh2_sg8a5H-slf0NkVatVKBWCvw/edit?usp=drivesdk</t>
  </si>
  <si>
    <t>B8- CONDENAÇÃO ROUBO COM ARMA</t>
  </si>
  <si>
    <t>BOLETIM_RADIO_TJRN_19_02_2026_B8_CONDENACAO_ROUBO_COM_ARMA</t>
  </si>
  <si>
    <t>https://docs.google.com/document/d/16dEtTWZC9NWlgUvRfW4stbcsX-xyd5Y5tzp-QwuKH5s/edit?usp=drivesdk</t>
  </si>
  <si>
    <t>B7- IMPROBIDADE GUAMARÉ</t>
  </si>
  <si>
    <t>BOLETIM_RADIO_TJRN_19_02_2026_B7_IMPROBIDADE_GUAMARE</t>
  </si>
  <si>
    <t>https://docs.google.com/document/d/1Wv6v6FJVSWkZQEJBrx3tPRKY4hZqdm_Hd9aPdgfE90k/edit?usp=drivesdk</t>
  </si>
  <si>
    <t>B6- REATIVAÇÃO CONTA MOTORISTA</t>
  </si>
  <si>
    <t>BOLETIM_RADIO_TJRN_19_02_2026_B6_REATIVACAO_CONTA_MOTORISTA</t>
  </si>
  <si>
    <t>https://docs.google.com/document/d/1Vhq7Lx03pEO0rGeG3OXyg_A6-m_c9qE-OiAok_9paL0/edit?usp=drivesdk</t>
  </si>
  <si>
    <t>B5- JÚRI POPULAR TENTATIVA HOMICÍDIO</t>
  </si>
  <si>
    <t>BOLETIM_RADIO_TJRN_19_02_2026_B5_JURI_POPULAR_TENTATIVA_HOMICIDIO</t>
  </si>
  <si>
    <t>https://docs.google.com/document/d/11ANhm6lzY2fgD6BkbzsKfBR5xGlKAONWyb56NMjFcxQ/edit?usp=drivesdk</t>
  </si>
  <si>
    <t>B4- ACIDENTE PARTICIPANTE PROJETO SOCIAL</t>
  </si>
  <si>
    <t>BOLETIM_RADIO_TJRN_19_02_2026_B4_ACIDENTE_PARTICIPANTE_PROJETO_SOCIAL</t>
  </si>
  <si>
    <t>https://docs.google.com/document/d/14xwARIBoBigzGvXrpY6UFr4uW2EWWMBSXPmB73GYxB4/edit?usp=drivesdk</t>
  </si>
  <si>
    <t>B3- CONDENAÇÃO CANCELAMENTO RESERVA VIAGEM</t>
  </si>
  <si>
    <t>BOLETIM_RADIO_TJRN_19_02_2026_B3_CONDENACAO_CANCELAMENTO_RESERVA_VIAGEM</t>
  </si>
  <si>
    <t>https://docs.google.com/document/d/17Z0Y_DRPCp9k3SyeVoEuAWwgsDlBD2eJbzOJnx6IDEM/edit?usp=drivesdk</t>
  </si>
  <si>
    <t>B2- TJRN SESSÃO ORDINÁRIA CANCELADA</t>
  </si>
  <si>
    <t>BOLETIM_RADIO_TJRN_19_02_2026_B2_TJRN_SESSAO_ORDINARIA_CANCELADA</t>
  </si>
  <si>
    <t>https://docs.google.com/document/d/1RElM9HMjqlccuTN5vaBi42_D_GiGnoYKYDDOpgyfRPs/edit?usp=drivesdk</t>
  </si>
  <si>
    <t xml:space="preserve">B1- TJRN PLANO SAÚDE VALOR </t>
  </si>
  <si>
    <t>BOLETIM_RADIO_TJRN_19_02_2026_B1_TJRN_PLANO_SAUDE_VALOR_</t>
  </si>
  <si>
    <t>https://docs.google.com/document/d/1-JtJecK5cZCqR9sC0piIr2tOdCJEZBIJ0fMkBYv8Xjc/edit?usp=drivesdk</t>
  </si>
  <si>
    <t xml:space="preserve">B10- TJRN ACUSADOS INTEGRAR FACÇÃO </t>
  </si>
  <si>
    <t>BOLETIM_RADIO_TJRN_13_02_2026_B10_TJRN_ACUSADOS_INTEGRAR_FACCAO_</t>
  </si>
  <si>
    <t>https://docs.google.com/document/d/1_2kp9et08obJ-rdF5BwANsDo8KSprxV5jUliophz62w/edit?usp=drivesdk</t>
  </si>
  <si>
    <t xml:space="preserve">B9- TJRN REGRAS PARTICIPAÇÃO CRIANÇAS </t>
  </si>
  <si>
    <t>BOLETIM_RADIO_TJRN_13_02_2026_B9_TJRN_REGRAS_PARTICIPACAO_CRIANCAS_</t>
  </si>
  <si>
    <t>https://docs.google.com/document/d/1esga8AjAL32wvSmm4zqtPYn8BgjzqE_7SG1SfRwoH08/edit?usp=drivesdk</t>
  </si>
  <si>
    <t xml:space="preserve">B8- TJRN BRINQUE DIREITO CAMPANHA </t>
  </si>
  <si>
    <t>BOLETIM_RADIO_TJRN_13_02_2026_B8_TJRN_BRINQUE_DIREITO_CAMPANHA_</t>
  </si>
  <si>
    <t>https://docs.google.com/document/d/1ZjiGZ5CIaxxd0mJP0xN0rXCz6eIiA0vemOGqkYIyYmI/edit?usp=drivesdk</t>
  </si>
  <si>
    <t>B7 - CONTRATO VERBAL IMÓVEL</t>
  </si>
  <si>
    <t>BOLETIM_RADIO_TJRN_13_02_2026_B7_CONTRATO_VERBAL_IMOVEL</t>
  </si>
  <si>
    <t>https://docs.google.com/document/d/10LVQCITqts1VIGCws6ak9MFu5Vjms_xLzJQ-RwleUfY/edit?usp=drivesdk</t>
  </si>
  <si>
    <t>B6 - EXAMES RESSONÂNCIA TÓRAX</t>
  </si>
  <si>
    <t>BOLETIM_RADIO_TJRN_13_02_2026_B6_EXAMES_RESSONANCIA_TORAX</t>
  </si>
  <si>
    <t>https://docs.google.com/document/d/1djrR4k1tHsRc4RpFJmM_t8I1LK8Loux5EDqhM6bgjAA/edit?usp=drivesdk</t>
  </si>
  <si>
    <t>B5 - CANCELADA SESSÃO 3ª CÂMARA CÍVEL</t>
  </si>
  <si>
    <t>BOLETIM_RADIO_TJRN_13_02_2026_B5_CANCELADA_SESSAO_3_CAMARA_CIVEL</t>
  </si>
  <si>
    <t>https://docs.google.com/document/d/114AjHRovEpC0uB-ykvMmNKmpqSlEROBmC1I2gFkGJOE/edit?usp=drivesdk</t>
  </si>
  <si>
    <t xml:space="preserve">B4- TJRN JUIZ TOMA POSSE </t>
  </si>
  <si>
    <t>BOLETIM_RADIO_TJRN_13_02_2026_B4_TJRN_JUIZ_TOMA_POSSE_</t>
  </si>
  <si>
    <t>https://docs.google.com/document/d/1-Jv0Ich8BZM-W7qghHVtpGsGQ-l19aOQu7ax5QOfczw/edit?usp=drivesdk</t>
  </si>
  <si>
    <t xml:space="preserve">B3- TJRN CEARÁ-MIRIM SUSPENDE EXPEDIENTE </t>
  </si>
  <si>
    <t>BOLETIM_RADIO_TJRN_13_02_2026_B3_TJRN_CEARA_MIRIM_SUSPENDE_EXPEDIENTE_</t>
  </si>
  <si>
    <t>https://docs.google.com/document/d/1P_tdxYz6gXkEfF-wszd_M0L4KmKzWQMSeITCeW90L3o/edit?usp=drivesdk</t>
  </si>
  <si>
    <t>B2- TJRN COMARCA ALEXANDRIA SELEÇÃO INTERINOS</t>
  </si>
  <si>
    <t>BOLETIM_RADIO_TJRN_13_02_2026_B2_TJRN_COMARCA_ALEXANDRIA_SELECAO_INTERINOS</t>
  </si>
  <si>
    <t>https://docs.google.com/document/d/19lkSDaCtrtwOWxApFZg4zLDhN9prPr5n7DWAqpo1IDw/edit?usp=drivesdk</t>
  </si>
  <si>
    <t xml:space="preserve">B1- TJRN CARRO DEFEITO APÓS COMPRA </t>
  </si>
  <si>
    <t>BOLETIM_RADIO_TJRN_13_02_2026_B1_TJRN_CARRO_DEFEITO_APOS_COMPRA_</t>
  </si>
  <si>
    <t>https://docs.google.com/document/d/1hIo1TQrPn7yU_LC7qRI2jzuMSsZEPNOL0ipUyeIeENY/edit?usp=drivesdk</t>
  </si>
  <si>
    <t>B10- ESMARN DIVULGADO PROJETOS DINTER</t>
  </si>
  <si>
    <t>BOLETIM_RADIO_TJRN_12_02_2026_B10_ESMARN_DIVULGADO_PROJETOS_DINTER</t>
  </si>
  <si>
    <t>https://docs.google.com/document/d/1E00tUQpNcG5xIW8ErJ0EQRB303S9BUS6HcuivojDY5U/edit?usp=drivesdk</t>
  </si>
  <si>
    <t>B9- TRT-RN INAUGURA SALA CLIMATIZADAS</t>
  </si>
  <si>
    <t>BOLETIM_RADIO_TJRN_12_02_2026_B9_TRT_RN_INAUGURA_SALA_CLIMATIZADAS</t>
  </si>
  <si>
    <t>https://docs.google.com/document/d/16xUjgF0Yso_QxERH91znUNgHhhWLqLOxC_5M1zQEFI0/edit?usp=drivesdk</t>
  </si>
  <si>
    <t xml:space="preserve">B8- MPRN RESTRIÇÃO RECIPIENTES VIDRO </t>
  </si>
  <si>
    <t>BOLETIM_RADIO_TJRN_12_02_2026_B8_MPRN_RESTRICAO_RECIPIENTES_VIDRO_</t>
  </si>
  <si>
    <t>https://docs.google.com/document/d/1YOZ0tEzTDmnJCatoCDr5mzE1JawLQpWEJGgKLQdb4AQ/edit?usp=drivesdk</t>
  </si>
  <si>
    <t>B7- TJRN JUSTIÇA CONDENA IDOSO MAUS-TRATOS</t>
  </si>
  <si>
    <t>BOLETIM_RADIO_TJRN_12_02_2026_B7_TJRN_JUSTICA_CONDENA_IDOSO_MAUS_TRATOS</t>
  </si>
  <si>
    <t>https://docs.google.com/document/d/1-ZaFDYofHamVgFc31XiS3GN2eidIEDzE09--GxRxbtI/edit?usp=drivesdk</t>
  </si>
  <si>
    <t xml:space="preserve">B6- TJRN ACUSADA ESTELIONATOS </t>
  </si>
  <si>
    <t>BOLETIM_RADIO_TJRN_12_02_2026_B6_TJRN_ACUSADA_ESTELIONATOS_</t>
  </si>
  <si>
    <t>https://docs.google.com/document/d/13HDqxQa2GcTpHkFY8bniwdxIuxbzoHkqspT6Ydb5GgU/edit?usp=drivesdk</t>
  </si>
  <si>
    <t xml:space="preserve">B5- TJRN DECISÃO DEFINE INCIDÊNCIA JUROS </t>
  </si>
  <si>
    <t>BOLETIM_RADIO_TJRN_12_02_2026_B5_TJRN_DECISAO_DEFINE_INCIDENCIA_JUROS_</t>
  </si>
  <si>
    <t>https://docs.google.com/document/d/1qdu2fpkkgQfcHuRSVP6k9SbjkyjwH5SJdw4HeW7gX-4/edit?usp=drivesdk</t>
  </si>
  <si>
    <t>B4- TJRN PLANO COMPROVAR MENSALIDADE</t>
  </si>
  <si>
    <t>BOLETIM_RADIO_TJRN_12_02_2026_B4_TJRN_PLANO_COMPROVAR_MENSALIDADE</t>
  </si>
  <si>
    <t>https://docs.google.com/document/d/1Bh6obgjjv2RAJqWDYjQm7MgXsz3vspO6PY2UP97H6nM/edit?usp=drivesdk</t>
  </si>
  <si>
    <t xml:space="preserve">B3- TJRN PLANO SAÚDE TRATAMENTO CRIANÇA </t>
  </si>
  <si>
    <t>BOLETIM_RADIO_TJRN_12_02_2026_B3_TJRN_PLANO_SAUDE_TRATAMENTO_CRIANCA_</t>
  </si>
  <si>
    <t>https://docs.google.com/document/d/1LtnKVpMD0wax9FHApUKyfq0co7ZlpZSGtAlA_EU9LaE/edit?usp=drivesdk</t>
  </si>
  <si>
    <t>B2- TJRN CÂMARAS PRODUTIVIDADE</t>
  </si>
  <si>
    <t>BOLETIM_RADIO_TJRN_12_02_2026_B2_TJRN_CAMARAS_PRODUTIVIDADE</t>
  </si>
  <si>
    <t>https://docs.google.com/document/d/19CjCUABVDEGsdDln8_fSxAWBtkRqI6YByGtf84il8o4/edit?usp=drivesdk</t>
  </si>
  <si>
    <t>B1- TJRN RECOMENDAÇÃO CNJ</t>
  </si>
  <si>
    <t>BOLETIM_RADIO_TJRN_12_02_2026_B1_TJRN_RECOMENDACAO_CNJ</t>
  </si>
  <si>
    <t>https://docs.google.com/document/d/1j_plf6PkyliVReCMPEeMsCAlE6WO8YR94G1QKBqWogw/edit?usp=drivesdk</t>
  </si>
  <si>
    <t xml:space="preserve">B10- TRT/RN CONCLUI EXPEDIÇÃO PRECATÓRIOS </t>
  </si>
  <si>
    <t>BOLETIM_RADIO_TJRN_11_02_2026_B10_TRTRN_CONCLUI_EXPEDICAO_PRECATORIOS_</t>
  </si>
  <si>
    <t>https://docs.google.com/document/d/1xHs8P0wYqbqpndMCrE3DVxVvTPuyz0ARl-E-MvvQLlU/edit?usp=drivesdk</t>
  </si>
  <si>
    <t xml:space="preserve">B9- ALRN GOVERNADORA LEITURA ANUAL  </t>
  </si>
  <si>
    <t>BOLETIM_RADIO_TJRN_11_02_2026_B9_ALRN_GOVERNADORA_LEITURA_ANUAL_</t>
  </si>
  <si>
    <t>https://docs.google.com/document/d/1LXtby6WoIf9pWRDa65QCpytoXO1MKkhVyjx2imFNtDY/edit?usp=drivesdk</t>
  </si>
  <si>
    <t>B8- MPRN CRIAÇÃO PROTOCOLO UNIDADES SOCIOEDUCATIVAS</t>
  </si>
  <si>
    <t>BOLETIM_RADIO_TJRN_11_02_2026_B8_MPRN_CRIACAO_PROTOCOLO_UNIDADES_SOCIOEDUCATIVAS</t>
  </si>
  <si>
    <t>https://docs.google.com/document/d/1rIT7GDt1wH2jRwFt-jOVtXkCl-eTTqASEvmQb6qcQDU/edit?usp=drivesdk</t>
  </si>
  <si>
    <t xml:space="preserve">B7- TJRN DEFINIDAS REGRAS AREIA BRANCA </t>
  </si>
  <si>
    <t>BOLETIM_RADIO_TJRN_11_02_2026_B7_TJRN_DEFINIDAS_REGRAS_AREIA_BRANCA_</t>
  </si>
  <si>
    <t>https://docs.google.com/document/d/1sA18amjxFsTe3GKrd3GXdq3tAZmj1o2kwJK2hr7Z2lE/edit?usp=drivesdk</t>
  </si>
  <si>
    <t>B6- TJRN DETERMINA EXCLUSÃO CONTAS FALSAS</t>
  </si>
  <si>
    <t>BOLETIM_RADIO_TJRN_11_02_2026_B6_TJRN_DETERMINA_EXCLUSAO_CONTAS_FALSAS</t>
  </si>
  <si>
    <t>https://docs.google.com/document/d/1D_DTs93uJ-e7AYejuOgyHAK8wXQpREGDtGW8C7oVJOo/edit?usp=drivesdk</t>
  </si>
  <si>
    <t xml:space="preserve">B5- TJRN SEGURADORA CONDENADA INDENIZAÇÃO </t>
  </si>
  <si>
    <t>BOLETIM_RADIO_TJRN_11_02_2026_B5_TJRN_SEGURADORA_CONDENADA_INDENIZACAO_</t>
  </si>
  <si>
    <t>https://docs.google.com/document/d/1MKf7ZfQ8SU5URerJ3BzwsY8FXlfTV02x213B5lEtJAU/edit?usp=drivesdk</t>
  </si>
  <si>
    <t xml:space="preserve">B4- TJRN ALMINO AFONSO SELEÇÃO </t>
  </si>
  <si>
    <t>BOLETIM_RADIO_TJRN_11_02_2026_B4_TJRN_ALMINO_AFONSO_SELECAO_</t>
  </si>
  <si>
    <t>https://docs.google.com/document/d/1LFtSX3ZAoI3-sJ9bNI9w6JiAkVjQ4MxFwtLKdlINgb4/edit?usp=drivesdk</t>
  </si>
  <si>
    <t>B3- TJRN PLANO SAÚDE MEDICAMENTOS</t>
  </si>
  <si>
    <t>BOLETIM_RADIO_TJRN_11_02_2026_B3_TJRN_PLANO_SAUDE_MEDICAMENTOS</t>
  </si>
  <si>
    <t>https://docs.google.com/document/d/1B4Ar89zUXak_t7TWYVVSNFLUgvn4rhXJDm3idbJyOzc/edit?usp=drivesdk</t>
  </si>
  <si>
    <t>B2- TJRN MANTIDA PENA ACUSADO</t>
  </si>
  <si>
    <t>BOLETIM_RADIO_TJRN_11_02_2026_B2_TJRN_MANTIDA_PENA_ACUSADO</t>
  </si>
  <si>
    <t>https://docs.google.com/document/d/1RW0prtmmBLpeXNAlRtSm026On4PyF6CpSGz1s-rytKE/edit?usp=drivesdk</t>
  </si>
  <si>
    <t>B1- TJRN REFORMA SENTENÇA PLATAFORMA</t>
  </si>
  <si>
    <t>BOLETIM_RADIO_TJRN_11_02_2026_B1_TJRN_REFORMA_SENTENCA_PLATAFORMA</t>
  </si>
  <si>
    <t>https://docs.google.com/document/d/10ggttVQ5E2LWLzf4dVrdoiAsnoXH9elzX4aLtp0aNPU/edit?usp=drivesdk</t>
  </si>
  <si>
    <t xml:space="preserve">B10- DPERN DECISÃO FAVORÁVEL PRESO CONDENAÇÃO </t>
  </si>
  <si>
    <t>BOLETIM_RADIO_TJRN_10_02_2026_B10_DPERN_DECISAO_FAVORAVEL_PRESO_CONDENACAO_</t>
  </si>
  <si>
    <t>https://docs.google.com/document/d/1Cx-PaQZKVnYf0rxiB1r61Lvf7Ok9toK5ABR1JMGg0tI/edit?usp=drivesdk</t>
  </si>
  <si>
    <t>B9- TRT/RN JUSTIÇA RESTAURATIVA</t>
  </si>
  <si>
    <t>BOLETIM_RADIO_TJRN_10_02_2026_B9_TRTRN_JUSTICA_RESTAURATIVA</t>
  </si>
  <si>
    <t>https://docs.google.com/document/d/1jXiotDDa86TbwdkVk49pZo3tZCKuJafrMP0jB9K1YgA/edit?usp=drivesdk</t>
  </si>
  <si>
    <t>B8- OAB/RN CENSO DIFICULDADES JOVENS BRASIL</t>
  </si>
  <si>
    <t>BOLETIM_RADIO_TJRN_10_02_2026_B8_OABRN_CENSO_DIFICULDADES_JOVENS_BRASIL</t>
  </si>
  <si>
    <t>https://docs.google.com/document/d/1zl_k4FvjBo7NzJJFdUugtjaw_IPs0sEzYi-qOhWqIF4/edit?usp=drivesdk</t>
  </si>
  <si>
    <t>B7- TJRN ALERTA SOBRE SMS FALSO</t>
  </si>
  <si>
    <t>BOLETIM_RADIO_TJRN_10_02_2026_B7_TJRN_ALERTA_SOBRE_SMS_FALSO</t>
  </si>
  <si>
    <t>https://docs.google.com/document/d/1kjkCDaFU9GoMEUp8LHNaeK97r-Qt0Pj-Fb7wq5yCrlY/edit?usp=drivesdk</t>
  </si>
  <si>
    <t xml:space="preserve">B6- TJRN ORIENTA PARTICIPAÇÃO CRIANÇAS </t>
  </si>
  <si>
    <t>BOLETIM_RADIO_TJRN_10_02_2026_B6_TJRN_ORIENTA_PARTICIPACAO_CRIANCAS_</t>
  </si>
  <si>
    <t>https://docs.google.com/document/d/1YzxWpZh5R9nl4XYbzXbAj5t11KcLWxsHvxRySnHuG54/edit?usp=drivesdk</t>
  </si>
  <si>
    <t xml:space="preserve">B5- TJRN COMARCA PORTALEGRE INSCRIÇÕES </t>
  </si>
  <si>
    <t>BOLETIM_RADIO_TJRN_10_02_2026_B5_TJRN_COMARCA_PORTALEGRE_INSCRICOES_</t>
  </si>
  <si>
    <t>https://docs.google.com/document/d/1a-QtfcvNPb3tAQOBtARcNdonzArRCFV_UiCFLhl2VUs/edit?usp=drivesdk</t>
  </si>
  <si>
    <t xml:space="preserve">B4- TJRN REALIZA MUTIRÃO </t>
  </si>
  <si>
    <t>BOLETIM_RADIO_TJRN_10_02_2026_B4_TJRN_REALIZA_MUTIRAO_</t>
  </si>
  <si>
    <t>https://docs.google.com/document/d/11vKrxoE9iTPdXf5-JIN4pqADKP5iMbfJAHJbkNQhAIA/edit?usp=drivesdk</t>
  </si>
  <si>
    <t xml:space="preserve">B3- TJRN CONSUMIDORA INDENIZADA INADIMPLENTES </t>
  </si>
  <si>
    <t>BOLETIM_RADIO_TJRN_10_02_2026_B3_TJRN_CONSUMIDORA_INDENIZADA_INADIMPLENTES_</t>
  </si>
  <si>
    <t>https://docs.google.com/document/d/16d5FZgg6AsUCWolD-bvB9V4I9jKVnKRx3Sr0FQaZ-94/edit?usp=drivesdk</t>
  </si>
  <si>
    <t>B2- TJRN RISCO DESABAMENTO MURO NATAL</t>
  </si>
  <si>
    <t>BOLETIM_RADIO_TJRN_10_02_2026_B2_TJRN_RISCO_DESABAMENTO_MURO_NATAL</t>
  </si>
  <si>
    <t>https://docs.google.com/document/d/1u0RbjeOinTi2VSI-rfOyQ4FkT5qgK1B8pcRj3UY4084/edit?usp=drivesdk</t>
  </si>
  <si>
    <t xml:space="preserve">B1- TJRN CONDENA MUNICIPIO ALUGUEIS ATRASADOS </t>
  </si>
  <si>
    <t>BOLETIM_RADIO_TJRN_10_02_2026_B1_TJRN_CONDENA_MUNICIPIO_ALUGUEIS_ATRASADOS_</t>
  </si>
  <si>
    <t>https://docs.google.com/document/d/1F0_gggHOS9Fx09L1DJnYAUVziXfg0GR84pZEvfKzzlY/edit?usp=drivesdk</t>
  </si>
  <si>
    <t>B10 - REMUNERAÇÃO PM CURSO FORMAÇÃO</t>
  </si>
  <si>
    <t>BOLETIM_RADIO_TJRN_09_02_2026_B10_REMUNERACAO_PM_CURSO_FORMACAO</t>
  </si>
  <si>
    <t>https://docs.google.com/document/d/1r-wslch5LfGmDJTlyrOEWlnc-VUczIb82iGj6VNv1G8/edit?usp=drivesdk</t>
  </si>
  <si>
    <t>B9 - AUSÊNCIA ANULAÇÃO SENTENÇA</t>
  </si>
  <si>
    <t>BOLETIM_RADIO_TJRN_09_02_2026_B9_AUSENCIA_ANULACAO_SENTENCA</t>
  </si>
  <si>
    <t>https://docs.google.com/document/d/1UdVl8X0ybYeI7PcvFRjU689USJFhiHIv2EHzy--MaCw/edit?usp=drivesdk</t>
  </si>
  <si>
    <t>B8 - INDENIZAÇÃO PACIENTE DEPRESSIVO</t>
  </si>
  <si>
    <t>BOLETIM_RADIO_TJRN_09_02_2026_B8_INDENIZACAO_PACIENTE_DEPRESSIVO</t>
  </si>
  <si>
    <t>https://docs.google.com/document/d/1EIy_iCLi1kv-Aub68RnvJhiSPBQxOIz3naVi9OQUKzk/edit?usp=drivesdk</t>
  </si>
  <si>
    <t>B7 - ESTÁGIO-PÓS MOSSORÓ DIREITO</t>
  </si>
  <si>
    <t>BOLETIM_RADIO_TJRN_09_02_2026_B7_ESTAGIO_POS_MOSSORO_DIREITO</t>
  </si>
  <si>
    <t>https://docs.google.com/document/d/1Gd-Hm_EkHsXK14Zbm7c_mLH9kLnsR95vQeuLNcUlz3Q/edit?usp=drivesdk</t>
  </si>
  <si>
    <t>B6 - COMITÊS MÊS CONSUMIDOR</t>
  </si>
  <si>
    <t>BOLETIM_RADIO_TJRN_09_02_2026_B6_COMITES_MES_CONSUMIDOR</t>
  </si>
  <si>
    <t>https://docs.google.com/document/d/1abeiCfbc_h7ISb3eN2B8sh1DXvsTFAyi49lYb3lVwLA/edit?usp=drivesdk</t>
  </si>
  <si>
    <t>B5 - RECUPERAÇÃO CANAL VÍDEOS</t>
  </si>
  <si>
    <t>BOLETIM_RADIO_TJRN_09_02_2026_B5_RECUPERACAO_CANAL_VIDEOS</t>
  </si>
  <si>
    <t>https://docs.google.com/document/d/1zolpgI2JUnwa4NexLYu_rZbvpTQnlnNgvQN-x-pv3WA/edit?usp=drivesdk</t>
  </si>
  <si>
    <t>B4 - RECUPERAÇÃO CANAL VÍDEOS</t>
  </si>
  <si>
    <t>THI</t>
  </si>
  <si>
    <t>BOLETIM_RADIO_TJRN_09_02_2026_B4_RECUPERACAO_CANAL_VIDEOS</t>
  </si>
  <si>
    <t>https://docs.google.com/document/d/193XBM1U3uMkASrKWHkGKMKYMJTStTyOb73ch_OIr4Tk/edit?usp=drivesdk</t>
  </si>
  <si>
    <t>B3 - REGULARIZAÇÃO CUSTAS JUDICIAIS</t>
  </si>
  <si>
    <t>BOLETIM_RADIO_TJRN_09_02_2026_B3_REGULARIZACAO_CUSTAS_JUDICIAIS</t>
  </si>
  <si>
    <t>https://docs.google.com/document/d/1jrPY-wFtwWrsFtt-KBWtI356XfKOxZllBauvlAENUnQ/edit?usp=drivesdk</t>
  </si>
  <si>
    <t xml:space="preserve">B2- MPRN COMBATE POLUIÇÃO SONORA </t>
  </si>
  <si>
    <t>BOLETIM_RADIO_TJRN_09_02_2026_B2_MPRN_COMBATE_POLUICAO_SONORA_</t>
  </si>
  <si>
    <t>https://docs.google.com/document/d/1WqKzbyXBTGmA01S1nEoVRSkIXEfb7-EJRr5UTVDqQSI/edit?usp=drivesdk</t>
  </si>
  <si>
    <t>B1- TJRN BALANÇO AÇÕES EXECUTADAS</t>
  </si>
  <si>
    <t>BOLETIM_RADIO_TJRN_09_02_2026_B1_TJRN_BALANCO_ACOES_EXECUTADAS</t>
  </si>
  <si>
    <t>https://docs.google.com/document/d/18BrTPnlDZnUCWrSvvHTDWU08YeXuE_Kip8fwQ6caJ1Q/edit?usp=drivesdk</t>
  </si>
  <si>
    <t>B10- TJRN EMPRESA TRANSPORTE CONDENADA</t>
  </si>
  <si>
    <t>BOLETIM_RADIO_TJRN_06_02_2026_B10_TJRN_EMPRESA_TRANSPORTE_CONDENADA</t>
  </si>
  <si>
    <t>https://docs.google.com/document/d/1C_JomSM0bFG2ibSQlEiBqYX4YPEPboQc_46Y1AelGpk/edit?usp=drivesdk</t>
  </si>
  <si>
    <t>B9- TJRN CUSTO OBRAS ACESSIBILIDADE</t>
  </si>
  <si>
    <t>BOLETIM_RADIO_TJRN_06_02_2026_B9_TJRN_CUSTO_OBRAS_ACESSIBILIDADE</t>
  </si>
  <si>
    <t>https://docs.google.com/document/d/1d8LunDoBBRN0BLmSOQ8USrfr6SQjz56OCqLuBdAOtIg/edit?usp=drivesdk</t>
  </si>
  <si>
    <t xml:space="preserve">B8- TJRN RECONHECE DESVIO FUNÇÃO </t>
  </si>
  <si>
    <t>BOLETIM_RADIO_TJRN_06_02_2026_B8_TJRN_RECONHECE_DESVIO_FUNCAO_</t>
  </si>
  <si>
    <t>https://docs.google.com/document/d/1te5UZ8MyC5Ao-CNdDpmT1rh51vZ1zo5C02IemJTKRNE/edit?usp=drivesdk</t>
  </si>
  <si>
    <t xml:space="preserve">B7- TJRN IDOSA CAPITALIZAÇÃO </t>
  </si>
  <si>
    <t>BOLETIM_RADIO_TJRN_06_02_2026_B7_TJRN_IDOSA_CAPITALIZACAO_</t>
  </si>
  <si>
    <t>https://docs.google.com/document/d/1FsQBw2I_Oe0ELrnZxgUANTVytCPpY3rp2CMVmj9WI2A/edit?usp=drivesdk</t>
  </si>
  <si>
    <t xml:space="preserve">B6- ESMARN CURSO INTELIGÊNCIA ARTIFICIAL </t>
  </si>
  <si>
    <t>BOLETIM_RADIO_TJRN_06_02_2026_B6_ESMARN_CURSO_INTELIGENCIA_ARTIFICIAL_</t>
  </si>
  <si>
    <t>https://docs.google.com/document/d/1P30d3xqHZccuWIpCb3tOkSPX5nJylZbvK9bWyL98qhs/edit?usp=drivesdk</t>
  </si>
  <si>
    <t xml:space="preserve">B5- CNJ INSCRIÇÕES CIENCIAS DE DADOS </t>
  </si>
  <si>
    <t>BOLETIM_RADIO_TJRN_06_02_2026_B5_CNJ_INSCRICOES_CIENCIAS_DE_DADOS_</t>
  </si>
  <si>
    <t>https://docs.google.com/document/d/1k9mpyRHAqrPMZFTCsbfDZYsgkTqVuOP2snlgV7MqJ3Y/edit?usp=drivesdk</t>
  </si>
  <si>
    <t>B4- TRT/RN DOA VEÍCULOS INSTITUTO CEGOS</t>
  </si>
  <si>
    <t>BOLETIM_RADIO_TJRN_06_02_2026_B4_TRTRN_DOA_VEICULOS_INSTITUTO_CEGOS</t>
  </si>
  <si>
    <t>https://docs.google.com/document/d/1GontP7o5IVYI_kebOtf7xcf31enLFJvu4W9GuWjHrJU/edit?usp=drivesdk</t>
  </si>
  <si>
    <t xml:space="preserve">B3- DPERN CRIAÇÃO CARGOS APOIO ESCOLAR </t>
  </si>
  <si>
    <t>BOLETIM_RADIO_TJRN_06_02_2026_B3_DPERN_CRIACAO_CARGOS_APOIO_ESCOLAR_</t>
  </si>
  <si>
    <t>https://docs.google.com/document/d/1TlixFdtnszmjvf4wZHe_6yl1qggvWR1nEe5L8yENyM4/edit?usp=drivesdk</t>
  </si>
  <si>
    <t xml:space="preserve">B2- ALRN ABRE TRABALHOS LEGISLATIVO </t>
  </si>
  <si>
    <t>BOLETIM_RADIO_TJRN_06_02_2026_B2_ALRN_ABRE_TRABALHOS_LEGISLATIVO_</t>
  </si>
  <si>
    <t>https://docs.google.com/document/d/1sv9q_M75zMCeNrIGMW68syRoD2knXD6DRCdC6uCtNFI/edit?usp=drivesdk</t>
  </si>
  <si>
    <t xml:space="preserve">B1- MPRN CONDENAÇÃO EMPRESÁRIOS </t>
  </si>
  <si>
    <t>BOLETIM_RADIO_TJRN_06_02_2026_B1_MPRN_CONDENACAO_EMPRESARIOS_</t>
  </si>
  <si>
    <t>https://docs.google.com/document/d/1Nr8Zzttz-sPDLm1miRYSLNvKLjVuKu3rJ2u8hNTUe4Y/edit?usp=drivesdk</t>
  </si>
  <si>
    <t>B10 - AÇÃO NACIONAL CONTRA FEMINICÍDIO</t>
  </si>
  <si>
    <t>BOLETIM_RADIO_TJRN_05_02_2026_B10_ACAO_NACIONAL_CONTRA_FEMINICIDIO</t>
  </si>
  <si>
    <t>https://docs.google.com/document/d/1qgEVMmFCnXJOoKnfRZhoYJbWIHBgE7_duP-lv3U-FPI/edit?usp=drivesdk</t>
  </si>
  <si>
    <t>B9 - SESSÃO EXTRAORDINÁRIA PRIMEIRA CÂMARA CÍVEL</t>
  </si>
  <si>
    <t>BOLETIM_RADIO_TJRN_05_02_2026_B9_SESSAO_EXTRAORDINARIA_PRIMEIRA_CAMARA_CIVEL</t>
  </si>
  <si>
    <t>https://docs.google.com/document/d/1e1sEguowTgyOIg1blVodfCLvd0B5vFiFR7fCAHUEehE/edit?usp=drivesdk</t>
  </si>
  <si>
    <t>B8- OAB/RN ALERTA GOLPE EXAME ORDEM</t>
  </si>
  <si>
    <t>BOLETIM_RADIO_TJRN_05_02_2026_B8_OABRN_ALERTA_GOLPE_EXAME_ORDEM</t>
  </si>
  <si>
    <t>https://docs.google.com/document/d/1vv87B1LuruGAWyT-MoP0u4vxm2dq7Fg3HNni-uKs3Dg/edit?usp=drivesdk</t>
  </si>
  <si>
    <t>B7- TRT/RN BANCO DANOS MORAIS ADOECIMENTO MENTAL</t>
  </si>
  <si>
    <t>BOLETIM_RADIO_TJRN_05_02_2026_B7_TRTRN_BANCO_DANOS_MORAIS_ADOECIMENTO_MENTAL</t>
  </si>
  <si>
    <t>https://docs.google.com/document/d/1rPxEO8Bl3hM8B6SBpc9ma_qvfDwFJNCSOqGWMfQcFyQ/edit?usp=drivesdk</t>
  </si>
  <si>
    <t xml:space="preserve">B6- TJRN CONDENA BANCO DIGITAL </t>
  </si>
  <si>
    <t>BOLETIM_RADIO_TJRN_05_02_2026_B6_TJRN_CONDENA_BANCO_DIGITAL_</t>
  </si>
  <si>
    <t>https://docs.google.com/document/d/1WqbTH7YxcalZuScXZapR7jpQk0qISq04yM4XwimvrvE/edit?usp=drivesdk</t>
  </si>
  <si>
    <t>B5- TJRN REDE SOCIAL CONTA PERFIL</t>
  </si>
  <si>
    <t>BOLETIM_RADIO_TJRN_05_02_2026_B5_TJRN_REDE_SOCIAL_CONTA_PERFIL</t>
  </si>
  <si>
    <t>https://docs.google.com/document/d/15DIimpH4urd84qDogqLOxd0UC4IFoqvqdvFfHi7IdBk/edit?usp=drivesdk</t>
  </si>
  <si>
    <t xml:space="preserve">B4- TJRN HOMEM CONDENADO ROUBO </t>
  </si>
  <si>
    <t>BOLETIM_RADIO_TJRN_05_02_2026_B4_TJRN_HOMEM_CONDENADO_ROUBO_</t>
  </si>
  <si>
    <t>https://docs.google.com/document/d/1RyNeCR8afOgwiu6LrVIB1N3rBU1t0m-2YhiZD9toJUY/edit?usp=drivesdk</t>
  </si>
  <si>
    <t>B3- TJRN CONDENA EX-ASSESSORA IMPROBIDADE</t>
  </si>
  <si>
    <t>BOLETIM_RADIO_TJRN_05_02_2026_B3_TJRN_CONDENA_EX_ASSESSORA_IMPROBIDADE</t>
  </si>
  <si>
    <t>https://docs.google.com/document/d/1EItCuJbG0UQmgh5rDRSloLFqMiJMbjfcfaOgRQxeBV8/edit?usp=drivesdk</t>
  </si>
  <si>
    <t xml:space="preserve">B2- TJRN MORADOR MOSSORÓ TRATAMENTO MÉDICO </t>
  </si>
  <si>
    <t>BOLETIM_RADIO_TJRN_05_02_2026_B2_TJRN_MORADOR_MOSSORO_TRATAMENTO_MEDICO_</t>
  </si>
  <si>
    <t>https://docs.google.com/document/d/11VkBdYXGG4S5okoGYvq1KRSfuCNU5x5lSIwfkRN1dmQ/edit?usp=drivesdk</t>
  </si>
  <si>
    <t>B1- TJRN INSTALAÇÃO MEDIDORES ENERGIA</t>
  </si>
  <si>
    <t>BOLETIM_RADIO_TJRN_05_02_2026_B1_TJRN_INSTALACAO_MEDIDORES_ENERGIA</t>
  </si>
  <si>
    <t>https://docs.google.com/document/d/1jCnjpeiwwH-1fj3XXfl01LVuZeEGSC-b9fH8gEeq5pA/edit?usp=drivesdk</t>
  </si>
  <si>
    <t xml:space="preserve">B10- TJRN NOMEAÇÃO CANDIDATO CONCURSO </t>
  </si>
  <si>
    <t>BOLETIM_RADIO_TJRN_04_02_2026_B10_TJRN_NOMEACAO_CANDIDATO_CONCURSO_</t>
  </si>
  <si>
    <t>https://docs.google.com/document/d/1kcMew1ffFmI8Se3SEoXsFb4suDnLeGGze28sxrXWtek/edit?usp=drivesdk</t>
  </si>
  <si>
    <t>B9 - MUDANÇA HORÁRIO SEGUNDA CÂMARA</t>
  </si>
  <si>
    <t>BOLETIM_RADIO_TJRN_04_02_2026_B9_MUDANCA_HORARIO_SEGUNDA_CAMARA</t>
  </si>
  <si>
    <t>https://docs.google.com/document/d/1LxMirGujEtGPZd-kankE3fie3KpxBBkGB55gCOaZ7N8/edit?usp=drivesdk</t>
  </si>
  <si>
    <t>B8 - MEDICAMENTO ESCLEROSE PLANO SAÚDE</t>
  </si>
  <si>
    <t>BOLETIM_RADIO_TJRN_04_02_2026_B8_MEDICAMENTO_ESCLEROSE_PLANO_SAUDE</t>
  </si>
  <si>
    <t>https://docs.google.com/document/d/1mESVKKs04I3cXST76_5mr4N3O77o4Lz0ckF2_6yVTSI/edit?usp=drivesdk</t>
  </si>
  <si>
    <t>B7 - INDENIZAÇÃO EXTRAVIO BAGAGEM ASSÚ</t>
  </si>
  <si>
    <t>BOLETIM_RADIO_TJRN_04_02_2026_B7_INDENIZACAO_EXTRAVIO_BAGAGEM_ASSU</t>
  </si>
  <si>
    <t>https://docs.google.com/document/d/1u5Q4pM9OPnvpXsLMKTeZ94iriBzqlQHWAmTugLPyTCc/edit?usp=drivesdk</t>
  </si>
  <si>
    <t>B6 - CONDENAÇÃO BANCO GOLPE VEÍCULO</t>
  </si>
  <si>
    <t>BOLETIM_RADIO_TJRN_04_02_2026_B6_CONDENACAO_BANCO_GOLPE_VEICULO</t>
  </si>
  <si>
    <t>https://docs.google.com/document/d/1sDvutZj-xoDcnxmIVdRjS-2sh4FZP34W2W1clLtUecs/edit?usp=drivesdk</t>
  </si>
  <si>
    <t>B5 - CONDENAÇÃO ROUBO POLICIAL MACAÍBA</t>
  </si>
  <si>
    <t>BOLETIM_RADIO_TJRN_04_02_2026_B5_CONDENACAO_ROUBO_POLICIAL_MACAIBA</t>
  </si>
  <si>
    <t>https://docs.google.com/document/d/17AlCheonRnEa7RcYkig6x_uVxkBtWR53DJdJWU70n5w/edit?usp=drivesdk</t>
  </si>
  <si>
    <t>B4 - INDENIZAÇÃO MEDICAMENTOS COSERN</t>
  </si>
  <si>
    <t>BOLETIM_RADIO_TJRN_04_02_2026_B4_INDENIZACAO_MEDICAMENTOS_COSERN</t>
  </si>
  <si>
    <t>https://docs.google.com/document/d/1r-3ZRrhbHFJ3ZxDp5wrVdmwdSuN9Ob00PLOvmgkeWUU/edit?usp=drivesdk</t>
  </si>
  <si>
    <t>B3 - MANUAL DE GESTÃO PROCESSUAL</t>
  </si>
  <si>
    <t>BOLETIM_RADIO_TJRN_04_02_2026_B3_MANUAL_DE_GESTAO_PROCESSUAL</t>
  </si>
  <si>
    <t>https://docs.google.com/document/d/1eMKp3ZmDBD9Dv9DIydDsBzN7-Gbto3j6zwBq6UaBcnM/edit?usp=drivesdk</t>
  </si>
  <si>
    <t>B2 - DOAÇÃO LIVROS SISTEMA PRISIONAL</t>
  </si>
  <si>
    <t>BOLETIM_RADIO_TJRN_04_02_2026_B2_DOACAO_LIVROS_SISTEMA_PRISIONAL</t>
  </si>
  <si>
    <t>https://docs.google.com/document/d/1pW5y4LqMdDBf31V0lHkUTOuEgS5k5qtuWflPQbkEAtw/edit?usp=drivesdk</t>
  </si>
  <si>
    <t>B1 - CONVOCAÇÃO JUÍZES LEIGOS JUIZADOS</t>
  </si>
  <si>
    <t>BOLETIM_RADIO_TJRN_04_02_2026_B1_CONVOCACAO_JUIZES_LEIGOS_JUIZADOS</t>
  </si>
  <si>
    <t>https://docs.google.com/document/d/1jRt5Q8bHxNC42CwFxMUmTqY1099SHQVED9rnJyLWzhc/edit?usp=drivesdk</t>
  </si>
  <si>
    <t xml:space="preserve">B10- TJRN REDE SOCIAL CONDENADA </t>
  </si>
  <si>
    <t>BOLETIM_RADIO_TJRN_03_02_2026_B10_TJRN_REDE_SOCIAL_CONDENADA_</t>
  </si>
  <si>
    <t>https://docs.google.com/document/d/17zIxiRAS6gwshHnvi3qtZpHzKPL_aE1u-URsk_PzGts/edit?usp=drivesdk</t>
  </si>
  <si>
    <t xml:space="preserve">B9- TJRN COMARCA SÃO BENTO INTERINO </t>
  </si>
  <si>
    <t>BOLETIM_RADIO_TJRN_03_02_2026_B9_TJRN_COMARCA_SAO_BENTO_INTERINO_</t>
  </si>
  <si>
    <t>https://docs.google.com/document/d/1jrP_exqLKvs83ZcxkTBXLyHzsRV2QH9fBO2Kp10QMJM/edit?usp=drivesdk</t>
  </si>
  <si>
    <t xml:space="preserve">B8- TJRN OPERADORA SAÚDE TRATAMENTO AUTISMO </t>
  </si>
  <si>
    <t>BOLETIM_RADIO_TJRN_03_02_2026_B8_TJRN_OPERADORA_SAUDE_TRATAMENTO_AUTISMO_</t>
  </si>
  <si>
    <t>https://docs.google.com/document/d/1A8gOzdPwqu9PhrkEl7X0EFixHgDi0_RHnQzyjOaptCU/edit?usp=drivesdk</t>
  </si>
  <si>
    <t xml:space="preserve">B7- TJRN MANTÉM INDEFERIMENTO TRAILER MOSSORÓ </t>
  </si>
  <si>
    <t>BOLETIM_RADIO_TJRN_03_02_2026_B7_TJRN_MANTEM_INDEFERIMENTO_TRAILER_MOSSORO_</t>
  </si>
  <si>
    <t>https://docs.google.com/document/d/1HF31RciPcEIlf6UmNkpFauoF2wNUIRhHGwc47T4qhTI/edit?usp=drivesdk</t>
  </si>
  <si>
    <t xml:space="preserve">B6- TJRN PASSAGEIRO INDENIZADO </t>
  </si>
  <si>
    <t>BOLETIM_RADIO_TJRN_03_02_2026_B6_TJRN_PASSAGEIRO_INDENIZADO_</t>
  </si>
  <si>
    <t>https://docs.google.com/document/d/1m0PJk7g5ZlntGaGBDltxqPUznyoBoEoOBC_4P0NE7E0/edit?usp=drivesdk</t>
  </si>
  <si>
    <t xml:space="preserve">B5- TRE/RN CANAL RECEBIMENTO DENÚNCIAS </t>
  </si>
  <si>
    <t>BOLETIM_RADIO_TJRN_03_02_2026_B5_TRERN_CANAL_RECEBIMENTO_DENUNCIAS_</t>
  </si>
  <si>
    <t>https://docs.google.com/document/d/13-5rmYrF8-Q1bxJ5Hn-GH3-qIL1ASpOjF_DKOEtkONc/edit?usp=drivesdk</t>
  </si>
  <si>
    <t xml:space="preserve">B4- TJRN COMARCA EXTREMOZ DEMANDAS JUDICIAIS </t>
  </si>
  <si>
    <t>BOLETIM_RADIO_TJRN_03_02_2026_B4_TJRN_COMARCA_EXTREMOZ_DEMANDAS_JUDICIAIS_</t>
  </si>
  <si>
    <t>https://docs.google.com/document/d/1QT2l27WkZzYk4HsHePCBrSNgN36kbnjQuazxFOrKcNg/edit?usp=drivesdk</t>
  </si>
  <si>
    <t xml:space="preserve">B3- VARA CRIMINAL ESTÁGIO </t>
  </si>
  <si>
    <t>BOLETIM_RADIO_TJRN_03_02_2026_B3_VARA_CRIMINAL_ESTAGIO_</t>
  </si>
  <si>
    <t>https://docs.google.com/document/d/1VIpbFx3MRYIRDUWh7wnK_honzmAhROSDyodmPXp51jA/edit?usp=drivesdk</t>
  </si>
  <si>
    <t>B2- TJRN IA ROTINAS PRESTAÇÃO JURISDICIONAL</t>
  </si>
  <si>
    <t>BOLETIM_RADIO_TJRN_03_02_2026_B2_TJRN_IA_ROTINAS_PRESTACAO_JURISDICIONAL</t>
  </si>
  <si>
    <t>https://docs.google.com/document/d/10eWcbw6yTe1pO6PNbxSG2H_OGsNOdsdDkk5G4LGsUvU/edit?usp=drivesdk</t>
  </si>
  <si>
    <t xml:space="preserve">B1- TJRN SUSPENDE LICITAÇÃO CANGUARETAMA </t>
  </si>
  <si>
    <t>BOLETIM_RADIO_TJRN_03_02_2026_B1_TJRN_SUSPENDE_LICITACAO_CANGUARETAMA_</t>
  </si>
  <si>
    <t>https://docs.google.com/document/d/19ZHU6xeCeJNb5Ol5snLGHiOBuSECcsIqwVvEjtlXB_s/edit?usp=drivesdk</t>
  </si>
  <si>
    <t>B10- DPERN PRAZO INSCRIÇÕES SUSTENTABILIDADE</t>
  </si>
  <si>
    <t>BOLETIM_RADIO_TJRN_02_02_2026_B10_DPERN_PRAZO_INSCRICOES_SUSTENTABILIDADE</t>
  </si>
  <si>
    <t>https://docs.google.com/document/d/1bd3YyaJmxUzRcBufjJl5uIA6g-Su0PLYwroqNeD69dk/edit?usp=drivesdk</t>
  </si>
  <si>
    <t>B9- TRT/RN DESCARACTERIZA TRABALHO INTERMITENTE</t>
  </si>
  <si>
    <t>BOLETIM_RADIO_TJRN_02_02_2026_B9_TRTRN_DESCARACTERIZA_TRABALHO_INTERMITENTE</t>
  </si>
  <si>
    <t>https://docs.google.com/document/d/1ooBE7t0AlbPYlw3ytOB1xTDr3lIz4bvBp4T0RZPgn5g/edit?usp=drivesdk</t>
  </si>
  <si>
    <t xml:space="preserve">B8- TJRN INCONSTITUCIONALIDADE LEI ENEM </t>
  </si>
  <si>
    <t>BOLETIM_RADIO_TJRN_02_02_2026_B8_TJRN_INCONSTITUCIONALIDADE_LEI_ENEM_</t>
  </si>
  <si>
    <t>https://docs.google.com/document/d/1MyvTdHfKlWYIK2giotJgKXmmbgl1UwnEj5q2IINftL4/edit?usp=drivesdk</t>
  </si>
  <si>
    <t xml:space="preserve">B7- TJRN ANULA PREGÃO CONSÓRCIO </t>
  </si>
  <si>
    <t>BOLETIM_RADIO_TJRN_02_02_2026_B7_TJRN_ANULA_PREGAO_CONSORCIO_</t>
  </si>
  <si>
    <t>https://docs.google.com/document/d/11LH3Ypinq4ncK1zuFP5l9hwBNf0IcIr0twqf8UML26A/edit?usp=drivesdk</t>
  </si>
  <si>
    <t>B6- TJRN CONDENA HOMEM MAUS-TRATOS</t>
  </si>
  <si>
    <t>BOLETIM_RADIO_TJRN_02_02_2026_B6_TJRN_CONDENA_HOMEM_MAUS_TRATOS</t>
  </si>
  <si>
    <t>https://docs.google.com/document/d/1qzInxflayro18Ywy4BKDI7C6ZcFHRv5IxKPjBTi7V6k/edit?usp=drivesdk</t>
  </si>
  <si>
    <t>B5- TJRN ESTÁGIO GRUPO METAS</t>
  </si>
  <si>
    <t>BOLETIM_RADIO_TJRN_02_02_2026_B5_TJRN_ESTAGIO_GRUPO_METAS</t>
  </si>
  <si>
    <t>https://docs.google.com/document/d/119-2VyQkba4rQH0XVNlk3OG9HL7nDB-CwKyt_CEkZfA/edit?usp=drivesdk</t>
  </si>
  <si>
    <t xml:space="preserve">B4- TJRN FABRICANTE REDE FARMACIA </t>
  </si>
  <si>
    <t>BOLETIM_RADIO_TJRN_02_02_2026_B4_TJRN_FABRICANTE_REDE_FARMACIA_</t>
  </si>
  <si>
    <t>https://docs.google.com/document/d/1AHheGwYOiT-q4FUnk1nMcJmyjTHHq0siIdyVS7L6IKU/edit?usp=drivesdk</t>
  </si>
  <si>
    <t xml:space="preserve">B3- TJRN AÇÕES PENITENCIÁRIA ALCAÇUZ </t>
  </si>
  <si>
    <t>BOLETIM_RADIO_TJRN_02_02_2026_B3_TJRN_ACOES_PENITENCIARIA_ALCACUZ_</t>
  </si>
  <si>
    <t>https://docs.google.com/document/d/17soFuxgx-56qUz71Tt12rGFqT7NW6lcPKbzNLvwINZA/edit?usp=drivesdk</t>
  </si>
  <si>
    <t xml:space="preserve">B2- TJRN CRESCIMENTO CAMARA CRIMINAL </t>
  </si>
  <si>
    <t>BOLETIM_RADIO_TJRN_02_02_2026_B2_TJRN_CRESCIMENTO_CAMARA_CRIMINAL_</t>
  </si>
  <si>
    <t>https://docs.google.com/document/d/1F819L7CjGiFRfxXQ31niYanedKhrH1jQv5ZtFwRxH3A/edit?usp=drivesdk</t>
  </si>
  <si>
    <t>B1- TJRN AÇÃO IMPROBIDADE SERVIDOR DETRAN</t>
  </si>
  <si>
    <t>BOLETIM_RADIO_TJRN_02_02_2026_B1_TJRN_ACAO_IMPROBIDADE_SERVIDOR_DETRAN</t>
  </si>
  <si>
    <t>https://docs.google.com/document/d/1WhxSp7tIo0B-rNqJ8VOg7KDjcpfK9iiOWezCkxAHJ4k/edit?usp=drivesdk</t>
  </si>
  <si>
    <t>Última sincronização: 08/06/2026 14:14 • Sistema Rádio Web 2026</t>
  </si>
  <si>
    <t>Última sincronização: 08/06/2026 00:12 • Sistema Rádio Web 2026</t>
  </si>
  <si>
    <t>Última sincronização: 08/06/2026 02:13 • Sistema Rádio Web 2026</t>
  </si>
  <si>
    <t>Última sincronização: 08/06/2026 04:12 • Sistema Rádio Web 2026</t>
  </si>
  <si>
    <t>Última sincronização: 08/06/2026 06:13 • Sistema Rádio Web 2026</t>
  </si>
  <si>
    <t>Última sincronização: 08/06/2026 10:15 • Sistema Rádio Web 2026</t>
  </si>
  <si>
    <t>Última sincronização: 08/06/2026 12:14 • Sistema Rádio Web 2026</t>
  </si>
  <si>
    <t>Última sincronização: 07/06/2026 00:12 • Sistema Rádio Web 2026</t>
  </si>
  <si>
    <t>Última sincronização: 07/06/2026 06:12 • Sistema Rádio Web 2026</t>
  </si>
  <si>
    <t>Última sincronização: 07/06/2026 08:12 • Sistema Rádio Web 2026</t>
  </si>
  <si>
    <t>Última sincronização: 07/06/2026 12:12 • Sistema Rádio Web 2026</t>
  </si>
  <si>
    <t>Última sincronização: 07/06/2026 14:12 • Sistema Rádio Web 2026</t>
  </si>
  <si>
    <t>Última sincronização: 07/06/2026 16:12 • Sistema Rádio Web 2026</t>
  </si>
  <si>
    <t>Última sincronização: 07/06/2026 20:12 • Sistema Rádio Web 2026</t>
  </si>
  <si>
    <t>Última sincronização: 07/06/2026 22:12 • Sistema Rádio Web 2026</t>
  </si>
  <si>
    <t>Última sincronização: 06/06/2026 00:12 • Sistema Rádio Web 2026</t>
  </si>
  <si>
    <t>Última sincronização: 06/06/2026 02:13 • Sistema Rádio Web 2026</t>
  </si>
  <si>
    <t>Última sincronização: 06/06/2026 04:12 • Sistema Rádio Web 2026</t>
  </si>
  <si>
    <t>Última sincronização: 06/06/2026 06:13 • Sistema Rádio Web 2026</t>
  </si>
  <si>
    <t>Última sincronização: 06/06/2026 08:12 • Sistema Rádio Web 2026</t>
  </si>
  <si>
    <t>Última sincronização: 06/06/2026 12:12 • Sistema Rádio Web 2026</t>
  </si>
  <si>
    <t>Última sincronização: 06/06/2026 14:12 • Sistema Rádio Web 2026</t>
  </si>
  <si>
    <t>Última sincronização: 06/06/2026 16:13 • Sistema Rádio Web 2026</t>
  </si>
  <si>
    <t>Última sincronização: 06/06/2026 20:12 • Sistema Rádio Web 2026</t>
  </si>
  <si>
    <t>Última sincronização: 06/06/2026 22:12 • Sistema Rádio Web 2026</t>
  </si>
  <si>
    <t>Última sincronização: 05/06/2026 00:12 • Sistema Rádio Web 2026</t>
  </si>
  <si>
    <t>Última sincronização: 05/06/2026 02:13 • Sistema Rádio Web 2026</t>
  </si>
  <si>
    <t>Última sincronização: 05/06/2026 04:12 • Sistema Rádio Web 2026</t>
  </si>
  <si>
    <t>Última sincronização: 05/06/2026 06:12 • Sistema Rádio Web 2026</t>
  </si>
  <si>
    <t>Última sincronização: 05/06/2026 08:12 • Sistema Rádio Web 2026</t>
  </si>
  <si>
    <t>Última sincronização: 05/06/2026 10:14 • Sistema Rádio Web 2026</t>
  </si>
  <si>
    <t>Última sincronização: 05/06/2026 14:14 • Sistema Rádio Web 2026</t>
  </si>
  <si>
    <t>Última sincronização: 05/06/2026 16:13 • Sistema Rádio Web 2026</t>
  </si>
  <si>
    <t>Última sincronização: 05/06/2026 18:14 • Sistema Rádio Web 2026</t>
  </si>
  <si>
    <t>Última sincronização: 05/06/2026 20:12 • Sistema Rádio Web 2026</t>
  </si>
  <si>
    <t>Última sincronização: 05/06/2026 22:13 • Sistema Rádio Web 2026</t>
  </si>
  <si>
    <t>Última sincronização: 04/06/2026 00:12 • Sistema Rádio Web 2026</t>
  </si>
  <si>
    <t>Última sincronização: 04/06/2026 04:13 • Sistema Rádio Web 2026</t>
  </si>
  <si>
    <t>Última sincronização: 04/06/2026 06:12 • Sistema Rádio Web 2026</t>
  </si>
  <si>
    <t>Última sincronização: 04/06/2026 08:12 • Sistema Rádio Web 2026</t>
  </si>
  <si>
    <t>Última sincronização: 04/06/2026 10:17 • Sistema Rádio Web 2026</t>
  </si>
  <si>
    <t>Última sincronização: 04/06/2026 12:13 • Sistema Rádio Web 2026</t>
  </si>
  <si>
    <t>Última sincronização: 04/06/2026 14:13 • Sistema Rádio Web 2026</t>
  </si>
  <si>
    <t>Última sincronização: 04/06/2026 16:13 • Sistema Rádio Web 2026</t>
  </si>
  <si>
    <t>Última sincronização: 04/06/2026 20:13 • Sistema Rádio Web 2026</t>
  </si>
  <si>
    <t>Última sincronização: 04/06/2026 22:12 • Sistema Rádio Web 2026</t>
  </si>
  <si>
    <t>Última sincronização: 03/06/2026 14:13 • Sistema Rádio Web 2026</t>
  </si>
  <si>
    <t>Última sincronização: 03/06/2026 16:12 • Sistema Rádio Web 2026</t>
  </si>
  <si>
    <t>Última sincronização: 03/06/2026 20:15 • Sistema Rádio Web 2026</t>
  </si>
  <si>
    <t>Última sincronização: 03/06/2026 22:12 • Sistema Rádio Web 2026</t>
  </si>
  <si>
    <t>B10- TJRN DETERMINA LABORATÓRIO CENTRAL</t>
  </si>
  <si>
    <t>BOLETIM_RADIO_TJRN_30_01_2026_B10_TJRN_DETERMINA_LABORATORIO_CENTRAL</t>
  </si>
  <si>
    <t>https://docs.google.com/document/d/1B39eY7nCdBCWWuZuCKpt54yX3aa5YEuTAf5qX4WkNjw/edit?usp=drivesdk</t>
  </si>
  <si>
    <t>B9- TJRN DETERMINA INTERNAÇÃO UTI</t>
  </si>
  <si>
    <t>BOLETIM_RADIO_TJRN_30_01_2026_B9_TJRN_DETERMINA_INTERNACAO_UTI</t>
  </si>
  <si>
    <t>https://docs.google.com/document/d/1HpS3qb_EVb4IQ6M_U8tD0ofaAnh--UldZz06mDOKPU0/edit?usp=drivesdk</t>
  </si>
  <si>
    <t>B8 -  TJRN DECISÃO DESVIO FUNÇÃO VERA CRUZ</t>
  </si>
  <si>
    <t>BOLETIM_RADIO_TJRN_30_01_2026_B8_TJRN_DECISAO_DESVIO_FUNCAO_VERA_CRUZ</t>
  </si>
  <si>
    <t>https://docs.google.com/document/d/1zWgV30tJB1LNYWI6fq51RGGoYZZMq5fulCF0SpJLMfg/edit?usp=drivesdk</t>
  </si>
  <si>
    <t>B7- TJRN MUNICÍPIO NATAL TRANSFERIR PONTOS CNH</t>
  </si>
  <si>
    <t>BOLETIM_RADIO_TJRN_30_01_2026_B7_TJRN_MUNICIPIO_NATAL_TRANSFERIR_PONTOS_CNH</t>
  </si>
  <si>
    <t>https://docs.google.com/document/d/1ASPKqONCpfd-VdsR0jYzyUDW_03OqgPLRhsq9I2DcjE/edit?usp=drivesdk</t>
  </si>
  <si>
    <t xml:space="preserve">B6- TCE/RN IRREGULARES SÃO MIGUEL </t>
  </si>
  <si>
    <t>BOLETIM_RADIO_TJRN_30_01_2026_B6_TCERN_IRREGULARES_SAO_MIGUEL_</t>
  </si>
  <si>
    <t>https://docs.google.com/document/d/1C7B2hlESuQRlcNGZhmnnzHrWb4bxjchlM6YU9zBZHPQ/edit?usp=drivesdk</t>
  </si>
  <si>
    <t xml:space="preserve">B5- TRT/RN WI-FI ABERTO </t>
  </si>
  <si>
    <t>BOLETIM_RADIO_TJRN_30_01_2026_B5_TRTRN_WI_FI_ABERTO_</t>
  </si>
  <si>
    <t>https://docs.google.com/document/d/1tnok4EEuZ9ZBn9cULVsI0ouSKFDmjfBTOQtzheZ-sP0/edit?usp=drivesdk</t>
  </si>
  <si>
    <t>B4- MPRN OPERAÇÃO ORGANIZAÇÃO CRIMINOSA</t>
  </si>
  <si>
    <t>BOLETIM_RADIO_TJRN_30_01_2026_B4_MPRN_OPERACAO_ORGANIZACAO_CRIMINOSA</t>
  </si>
  <si>
    <t>https://docs.google.com/document/d/1FxQOUMqkw0qXXHIChqAbaTZ6Uu6PoC8Y9lFAvTaQM28/edit?usp=drivesdk</t>
  </si>
  <si>
    <t xml:space="preserve">B3- TJRN PODER JUDICIÁRIO POLUIÇÃO SONORA </t>
  </si>
  <si>
    <t>BOLETIM_RADIO_TJRN_30_01_2026_B3_TJRN_PODER_JUDICIARIO_POLUICAO_SONORA_</t>
  </si>
  <si>
    <t>https://docs.google.com/document/d/1zbZ9TkUmChNCDDRG8EA_ru-Q6ijKKQe02CS9f0K3BUA/edit?usp=drivesdk</t>
  </si>
  <si>
    <t>B2- TJRN SESSÃO CRIMINAL ANTECIPADA</t>
  </si>
  <si>
    <t>BOLETIM_RADIO_TJRN_30_01_2026_B2_TJRN_SESSAO_CRIMINAL_ANTECIPADA</t>
  </si>
  <si>
    <t>https://docs.google.com/document/d/1LrydHDj301LPvydNHKHAGssddiSIMm5kNntcJsprr0Q/edit?usp=drivesdk</t>
  </si>
  <si>
    <t>B1- TJRN AMPLIA PRODUTIVIDADE</t>
  </si>
  <si>
    <t>BOLETIM_RADIO_TJRN_30_01_2026_B1_TJRN_AMPLIA_PRODUTIVIDADE</t>
  </si>
  <si>
    <t>https://docs.google.com/document/d/1FDYnRS8yRXtWhAdm7BcMhSa1Jk10axou2FuaGlB1l5s/edit?usp=drivesdk</t>
  </si>
  <si>
    <t>B10 - REGRAS CRIANÇAS CARNAVAL</t>
  </si>
  <si>
    <t>BOLETIM_RADIO_TJRN_29_01_2026_B10_REGRAS_CRIANCAS_CARNAVAL</t>
  </si>
  <si>
    <t>https://docs.google.com/document/d/15pdKva4Luerd5l_lis1czhIQqTFvAyWuOkl8_hbh2hc/edit?usp=drivesdk</t>
  </si>
  <si>
    <t>B9 - FORNECIMENTO TRATAMENTO OFTALMOLÓGICO</t>
  </si>
  <si>
    <t>BOLETIM_RADIO_TJRN_29_01_2026_B9_FORNECIMENTO_TRATAMENTO_OFTALMOLOGICO</t>
  </si>
  <si>
    <t>https://docs.google.com/document/d/1YD-ZZtfI4fRSiHn-cZJiWNcVrbUkNEjp0gOJxAJTUBM/edit?usp=drivesdk</t>
  </si>
  <si>
    <t>B8 - EMPRESA ONLINE CONDENADA DANOS MORAIS</t>
  </si>
  <si>
    <t>BOLETIM_RADIO_TJRN_29_01_2026_B8_EMPRESA_ONLINE_CONDENADA_DANOS_MORAIS</t>
  </si>
  <si>
    <t>https://docs.google.com/document/d/1fcQB7F4D3a5gNW8KrcSBn2M7Vq4kx7iKKZX0TthWEg8/edit?usp=drivesdk</t>
  </si>
  <si>
    <t>B7 - LEI POLUIÇÃO SONORA DERRUBADA</t>
  </si>
  <si>
    <t>BOLETIM_RADIO_TJRN_29_01_2026_B7_LEI_POLUICAO_SONORA_DERRUBADA</t>
  </si>
  <si>
    <t>https://docs.google.com/document/d/1VzeFB7bpYDuAlz78lt0aERpQ39mQyblkg2qTaCc4h-Q/edit?usp=drivesdk</t>
  </si>
  <si>
    <t>B6 - INDENIZAÇÃO MOTORISTA FALHAS REPAROS</t>
  </si>
  <si>
    <t>BOLETIM_RADIO_TJRN_29_01_2026_B6_INDENIZACAO_MOTORISTA_FALHAS_REPAROS</t>
  </si>
  <si>
    <t>https://docs.google.com/document/d/1sbEFLLVX7p5EjBHVOUlnkkHRPzvVHycMzrv7OagQK40/edit?usp=drivesdk</t>
  </si>
  <si>
    <t>B5 - PLATAFORMA NÃO EXCLUSÃO CONTAS GOLPE</t>
  </si>
  <si>
    <t>BOLETIM_RADIO_TJRN_29_01_2026_B5_PLATAFORMA_NAO_EXCLUSAO_CONTAS_GOLPE</t>
  </si>
  <si>
    <t>https://docs.google.com/document/d/17wla-J4Pdd6rSJRGSNDgN_NdPLurYQ78fdjchZ8IdeY/edit?usp=drivesdk</t>
  </si>
  <si>
    <t>B4 - PARECERIA SECRETARIA CULTURA</t>
  </si>
  <si>
    <t>BOLETIM_RADIO_TJRN_29_01_2026_B4_PARECERIA_SECRETARIA_CULTURA</t>
  </si>
  <si>
    <t>https://docs.google.com/document/d/12CBN5JD7zQQJx4Iom_GKTX1Qf1QbT3wF51zcxuGPzoI/edit?usp=drivesdk</t>
  </si>
  <si>
    <t>B3 - SELEÇÃO TABELIÃO SERRA NEGRA</t>
  </si>
  <si>
    <t>BOLETIM_RADIO_TJRN_29_01_2026_B3_SELECAO_TABELIAO_SERRA_NEGRA</t>
  </si>
  <si>
    <t>https://docs.google.com/document/d/1XC-hOlaELFLJZNv8x4y3hbNA1YqEkpzzFjl2lcC0bHo/edit?usp=drivesdk</t>
  </si>
  <si>
    <t>B2 - CNJ SUSPENSÃO PRAZOS PROCESSUAIS INSS</t>
  </si>
  <si>
    <t>BOLETIM_RADIO_TJRN_29_01_2026_B2_CNJ_SUSPENSAO_PRAZOS_PROCESSUAIS_INSS</t>
  </si>
  <si>
    <t>https://docs.google.com/document/d/1yYeTVHf0z5jCQBlsesvjowvxm0QKe3--TmlFXOHBvSs/edit?usp=drivesdk</t>
  </si>
  <si>
    <t>B1 - LEILÃO TERRENO BARAÚNA</t>
  </si>
  <si>
    <t>BOLETIM_RADIO_TJRN_29_01_2026_B1_LEILAO_TERRENO_BARAUNA</t>
  </si>
  <si>
    <t>https://docs.google.com/document/d/1aStmCNgNw648FMvGyU2h9nBZYNsdAucbE6FPF8rfQ_k/edit?usp=drivesdk</t>
  </si>
  <si>
    <t>B10 - TJRN ESTABELECE ORIENTAÇÕES CARNAVAL</t>
  </si>
  <si>
    <t>BOLETIM_RADIO_TJRN_28_01_2026_B10_TJRN_ESTABELECE_ORIENTACOES_CARNAVAL</t>
  </si>
  <si>
    <t>https://docs.google.com/document/d/1zGTdtjy0qgfa5_5veWCzPbdgXuQ1r9brBZ_K92Pl5Zs/edit?usp=drivesdk</t>
  </si>
  <si>
    <t xml:space="preserve">B9- TJRN DECLARA INCONSTITUCIONAL CARGOS </t>
  </si>
  <si>
    <t>BOLETIM_RADIO_TJRN_28_01_2026_B9_TJRN_DECLARA_INCONSTITUCIONAL_CARGOS_</t>
  </si>
  <si>
    <t>https://docs.google.com/document/d/1o1jgvNDw0WSVyJc7KXTTikQKPU312b8aJbswkUTtUv0/edit?usp=drivesdk</t>
  </si>
  <si>
    <t xml:space="preserve">B8- TJRN COMPANHIA AÉREA INDENIZAÇÃO </t>
  </si>
  <si>
    <t>BOLETIM_RADIO_TJRN_28_01_2026_B8_TJRN_COMPANHIA_AEREA_INDENIZACAO_</t>
  </si>
  <si>
    <t>https://docs.google.com/document/d/1KVGTIJYjeDHXJhqGb8Q19wyRXDUirwaSWUBrNcQvgj4/edit?usp=drivesdk</t>
  </si>
  <si>
    <t>B7- TJRN PLANO SAÚDE CONDENADO</t>
  </si>
  <si>
    <t>BOLETIM_RADIO_TJRN_28_01_2026_B7_TJRN_PLANO_SAUDE_CONDENADO</t>
  </si>
  <si>
    <t>https://docs.google.com/document/d/1Vu0cQXmvHm4X8XOahue_-fFq_0jeTOr47lCLr-jAKx8/edit?usp=drivesdk</t>
  </si>
  <si>
    <t>B6- TJRN PARNAMIRIM CIRURGIA IDOSA</t>
  </si>
  <si>
    <t>BOLETIM_RADIO_TJRN_28_01_2026_B6_TJRN_PARNAMIRIM_CIRURGIA_IDOSA</t>
  </si>
  <si>
    <t>https://docs.google.com/document/d/1vHQZLYPa3jvTaujIl3Zn4KTeCwOiEyb8jnqYXud5Q04/edit?usp=drivesdk</t>
  </si>
  <si>
    <t>B5-TJRN RECURSOS PENAS ACARI</t>
  </si>
  <si>
    <t>BOLETIM_RADIO_TJRN_28_01_2026_B5_TJRN_RECURSOS_PENAS_ACARI</t>
  </si>
  <si>
    <t>https://docs.google.com/document/d/1xz3-eB5suW3qnIExsTRxXZGbRco9CMxtuSgV5b7LXUU/edit?usp=drivesdk</t>
  </si>
  <si>
    <t>B4- CNJ JUDICIÁRIO MENOR ESTOQUE</t>
  </si>
  <si>
    <t>BOLETIM_RADIO_TJRN_28_01_2026_B4_CNJ_JUDICIARIO_MENOR_ESTOQUE</t>
  </si>
  <si>
    <t>https://docs.google.com/document/d/1DWtiqqQi02vWsrWulnCb1D-v4-DWcLFnxh9_mu9tVis/edit?usp=drivesdk</t>
  </si>
  <si>
    <t xml:space="preserve">B3- MPRN PROCESSO SIMPLIFICADO </t>
  </si>
  <si>
    <t>BOLETIM_RADIO_TJRN_28_01_2026_B3_MPRN_PROCESSO_SIMPLIFICADO_</t>
  </si>
  <si>
    <t>https://docs.google.com/document/d/1U6lLwui_IXPwR1o08ucvLU2HzZKjYRWNkQECOTzcgHU/edit?usp=drivesdk</t>
  </si>
  <si>
    <t xml:space="preserve">B2- DPERN EDITAL LOCAÇÃO FLORÂNIA </t>
  </si>
  <si>
    <t>BOLETIM_RADIO_TJRN_28_01_2026_B2_DPERN_EDITAL_LOCACAO_FLORANIA_</t>
  </si>
  <si>
    <t>https://docs.google.com/document/d/1vy7ouz6m3VcT3mIrGvk61tcnbMkjs9gJ1O-zwyCk2KU/edit?usp=drivesdk</t>
  </si>
  <si>
    <t xml:space="preserve">B1- 3 VARA PARNAMIRIM ESTÁGIO </t>
  </si>
  <si>
    <t>BOLETIM_RADIO_TJRN_28_01_2026_B1_3_VARA_PARNAMIRIM_ESTAGIO_</t>
  </si>
  <si>
    <t>https://docs.google.com/document/d/1B9LZIzmi6rNw_V-43nkmhGja0Y0jKFIWons8kgk3cRk/edit?usp=drivesdk</t>
  </si>
  <si>
    <t>B10- PENAS PECUNIÁRIAS PARNAMIRIM</t>
  </si>
  <si>
    <t>BOLETIM_RADIO_TJRN_27_01_2026_B10_PENAS_PECUNIARIAS_PARNAMIRIM</t>
  </si>
  <si>
    <t>https://docs.google.com/document/d/18_q6ucLY8eeytlh7c-tFHozpqliup4lABtiJkp1MIJk/edit?usp=drivesdk</t>
  </si>
  <si>
    <t>B9- RESSARCIMENTO NEGADO ASSESSOR POLÍTICO</t>
  </si>
  <si>
    <t>BOLETIM_RADIO_TJRN_27_01_2026_B9_RESSARCIMENTO_NEGADO_ASSESSOR_POLITICO</t>
  </si>
  <si>
    <t>https://docs.google.com/document/d/1Ue1-4KhnoPw4GsRj5QsPnjbHVNIivU6K_HkHM45vb_8/edit?usp=drivesdk</t>
  </si>
  <si>
    <t>B8- IMPROBIDADE EX-PRESIDENTE CÂMARA SÃO GONÇALO</t>
  </si>
  <si>
    <t>BOLETIM_RADIO_TJRN_27_01_2026_B8_IMPROBIDADE_EX_PRESIDENTE_CAMARA_SAO_GONCALO</t>
  </si>
  <si>
    <t>https://docs.google.com/document/d/1dZfAdO6z3xFhWOdB9-qvYFadIukbxrM-rI71QXS_t5U/edit?usp=drivesdk</t>
  </si>
  <si>
    <t>B7- CLÍNICA CONDENAÇÃO MORTE FILHOTES</t>
  </si>
  <si>
    <t>BOLETIM_RADIO_TJRN_27_01_2026_B7_CLINICA_CONDENACAO_MORTE_FILHOTES</t>
  </si>
  <si>
    <t>https://docs.google.com/document/d/16-DFK6LiE3TbC438AeXC1U5jCrVlUdSFklpB5SPKGhU/edit?usp=drivesdk</t>
  </si>
  <si>
    <t>B6- INDENIZAÇÃO EMPRÉSTIMO FRAUDULENTO</t>
  </si>
  <si>
    <t>BOLETIM_RADIO_TJRN_27_01_2026_B6_INDENIZACAO_EMPRESTIMO_FRAUDULENTO</t>
  </si>
  <si>
    <t>https://docs.google.com/document/d/1VU91BLgsN1DE6-Hi-957mAOjK5zE7dR1tqKMjA_EhxE/edit?usp=drivesdk</t>
  </si>
  <si>
    <t>B5- INDENIZAÇÃO FALHA VIAGEM RODOVIÁRIA</t>
  </si>
  <si>
    <t>BOLETIM_RADIO_TJRN_27_01_2026_B5_INDENIZACAO_FALHA_VIAGEM_RODOVIARIA</t>
  </si>
  <si>
    <t>https://docs.google.com/document/d/1-6XaM6kboEhFLpZ268ia9nrL6j2R3vVfX_wzOFbV7Hw/edit?usp=drivesdk</t>
  </si>
  <si>
    <t>B4- TRT/RN EMPRESA ISENTA MORTE VIGILANTE</t>
  </si>
  <si>
    <t>BOLETIM_RADIO_TJRN_27_01_2026_B4_TRTRN_EMPRESA_ISENTA_MORTE_VIGILANTE</t>
  </si>
  <si>
    <t>https://docs.google.com/document/d/11iy58qKdEG9yWrpUEeTLoseB4-BXHdNE44vFVssK_tI/edit?usp=drivesdk</t>
  </si>
  <si>
    <t>B3- CMN CÂMARA APRESENTA BALANÇO 2025</t>
  </si>
  <si>
    <t>BOLETIM_RADIO_TJRN_27_01_2026_B3_CMN_CAMARA_APRESENTA_BALANCO_2025</t>
  </si>
  <si>
    <t>https://docs.google.com/document/d/1b7LoqffkQJ69ABsw0biSCT1B88HOMph7Gqd3lh8c7nw/edit?usp=drivesdk</t>
  </si>
  <si>
    <t xml:space="preserve">B2- MPRN PROMOVE AUDIÊNCIA ENSINO PÚBLICO </t>
  </si>
  <si>
    <t>BOLETIM_RADIO_TJRN_27_01_2026_B2_MPRN_PROMOVE_AUDIENCIA_ENSINO_PUBLICO_</t>
  </si>
  <si>
    <t>https://docs.google.com/document/d/1XthIW9Y3j0qe-taON78ibd51m-Dwf0kiNPLWbadqdxk/edit?usp=drivesdk</t>
  </si>
  <si>
    <t xml:space="preserve">B1- TCE/RN AUDITORIA PREVIDÊNCIA ITAÚ </t>
  </si>
  <si>
    <t>BOLETIM_RADIO_TJRN_27_01_2026_B1_TCERN_AUDITORIA_PREVIDENCIA_ITAU_</t>
  </si>
  <si>
    <t>https://docs.google.com/document/d/1wYQHjfogWRtuxL-q5YVLKzxU6cJNvHNuEPdd-r-Ul7E/edit?usp=drivesdk</t>
  </si>
  <si>
    <t xml:space="preserve">B10- TTR/RN SOLENIDADE PLENO ABERTURA </t>
  </si>
  <si>
    <t>BOLETIM_RADIO_TJRN_26_01_2026_B10_TTRRN_SOLENIDADE_PLENO_ABERTURA_</t>
  </si>
  <si>
    <t>https://docs.google.com/document/d/1j9foKMo3kB1tweQBg4H0GdPC1sgDzr1qfmcfuh6yqhM/edit?usp=drivesdk</t>
  </si>
  <si>
    <t xml:space="preserve">B9- OAB/RN VISITA DELEGACIA PLANTÃO </t>
  </si>
  <si>
    <t>BOLETIM_RADIO_TJRN_26_01_2026_B9_OABRN_VISITA_DELEGACIA_PLANTAO_</t>
  </si>
  <si>
    <t>https://docs.google.com/document/d/1L67Y9ptTyBnmQ-L63cohFaj9hbjISCDfDP2v6a1grvw/edit?usp=drivesdk</t>
  </si>
  <si>
    <t>B8- TJRN DOIS JUÍZES EMPOSSADOS</t>
  </si>
  <si>
    <t>BOLETIM_RADIO_TJRN_26_01_2026_B8_TJRN_DOIS_JUIZES_EMPOSSADOS</t>
  </si>
  <si>
    <t>https://docs.google.com/document/d/1V-wo9ZP91cmighjzTgVlh0mbJD3sqv5G9ZTwZZ33qMQ/edit?usp=drivesdk</t>
  </si>
  <si>
    <t>B7- ESTÁGIO 2ª VARA MOSSORÓ</t>
  </si>
  <si>
    <t>BOLETIM_RADIO_TJRN_26_01_2026_B7_ESTAGIO_2_VARA_MOSSORO</t>
  </si>
  <si>
    <t>https://docs.google.com/document/d/1tzVib-v1g6EQ-SnZcMCtNYB1kIlo01rWGsd8G36x3U0/edit?usp=drivesdk</t>
  </si>
  <si>
    <t>B6- SELEÇÃO TABELIÃES ALEXANDRIA</t>
  </si>
  <si>
    <t>BOLETIM_RADIO_TJRN_26_01_2026_B6_SELECAO_TABELIAES_ALEXANDRIA</t>
  </si>
  <si>
    <t>https://docs.google.com/document/d/10ENU1RdUAJ6lVlvzPST1uR8o7Et_bKAcoK13T7gqM8s/edit?usp=drivesdk</t>
  </si>
  <si>
    <t>B5- CONTRATAÇÃO SOFTWARE ANGICOS</t>
  </si>
  <si>
    <t>BOLETIM_RADIO_TJRN_26_01_2026_B5_CONTRATACAO_SOFTWARE_ANGICOS</t>
  </si>
  <si>
    <t>https://docs.google.com/document/d/156UToFSjQDdUFQ4ysbC0TeYrDwDj2Lpok5SRyDeejj8/edit?usp=drivesdk</t>
  </si>
  <si>
    <t>B4- LIXÃO CÉU ABERTO</t>
  </si>
  <si>
    <t>BOLETIM_RADIO_TJRN_26_01_2026_B4_LIXAO_CEU_ABERTO</t>
  </si>
  <si>
    <t>https://docs.google.com/document/d/1hlSq9K3tnwWFaV3S-j74seKUn2h0EZ0CUEoK31CghFA/edit?usp=drivesdk</t>
  </si>
  <si>
    <t>B3- RESSONÂNCIA PACIENTE IDOSA</t>
  </si>
  <si>
    <t>BOLETIM_RADIO_TJRN_26_01_2026_B3_RESSONANCIA_PACIENTE_IDOSA</t>
  </si>
  <si>
    <t>https://docs.google.com/document/d/1b6UGjylwGX-bf4dQjbzei-uQrsDL2puqurops1ExAFY/edit?usp=drivesdk</t>
  </si>
  <si>
    <t>B2- ESTÁGIO DIREITO 6º JUIZADO</t>
  </si>
  <si>
    <t>BOLETIM_RADIO_TJRN_26_01_2026_B2_ESTAGIO_DIREITO_6_JUIZADO</t>
  </si>
  <si>
    <t>https://docs.google.com/document/d/1kw2Qd8EIgkC0i98kPoEW3poTWE7GWR0mahavr098cws/edit?usp=drivesdk</t>
  </si>
  <si>
    <t>B1- CURSO CAPACITAÇÃO NUPEC ESMARN</t>
  </si>
  <si>
    <t>BOLETIM_RADIO_TJRN_26_01_2026_B1_CURSO_CAPACITACAO_NUPEC_ESMARN</t>
  </si>
  <si>
    <t>https://docs.google.com/document/d/1cILfXY3OprcB2W4Im-_9lnakRE0L__t0x_GvdOTtkww/edit?usp=drivesdk</t>
  </si>
  <si>
    <t>B10- ENCONTRO COMBATE TRABALHO ESCRAVO</t>
  </si>
  <si>
    <t>BOLETIM_RADIO_TJRN_23_01_2026_B10_ENCONTRO_COMBATE_TRABALHO_ESCRAVO</t>
  </si>
  <si>
    <t>https://docs.google.com/document/d/1zYW0rcaSRA8LigJCAtUYVczyF1JsPcj6Uyt-5l3F9jY/edit?usp=drivesdk</t>
  </si>
  <si>
    <t>B9- NOVO MÓDULO TRE</t>
  </si>
  <si>
    <t>BOLETIM_RADIO_TJRN_23_01_2026_B9_NOVO_MODULO_TRE</t>
  </si>
  <si>
    <t>https://docs.google.com/document/d/1Ahke6JLKiQCkAm4avqPoRMDo9LmoQAyoRmXfPz1fIis/edit?usp=drivesdk</t>
  </si>
  <si>
    <t>B8- CONSULTA TSE ACESSIBILIDADE</t>
  </si>
  <si>
    <t>BOLETIM_RADIO_TJRN_23_01_2026_B8_CONSULTA_TSE_ACESSIBILIDADE</t>
  </si>
  <si>
    <t>https://docs.google.com/document/d/17hC61sTRx_57dmJAhh15FKJsCMx4Rg9zct4nZhDLaoY/edit?usp=drivesdk</t>
  </si>
  <si>
    <t>B7- CONGRESSO JUDICIÁRIO AMÉRICA LATINA</t>
  </si>
  <si>
    <t>BOLETIM_RADIO_TJRN_23_01_2026_B7_CONGRESSO_JUDICIARIO_AMERICA_LATINA</t>
  </si>
  <si>
    <t>https://docs.google.com/document/d/1ibJY_QLYA8FdkyyfD_NaIErH_z2eblqLx5L5nU9AZDg/edit?usp=drivesdk</t>
  </si>
  <si>
    <t>B6- TRABALHO DECENTE CNJ</t>
  </si>
  <si>
    <t>BOLETIM_RADIO_TJRN_23_01_2026_B6_TRABALHO_DECENTE_CNJ</t>
  </si>
  <si>
    <t>https://docs.google.com/document/d/1NB_nAce0ISPW9p-mH4hhpnnL50sZ7VaxIXQoKHET12k/edit?usp=drivesdk</t>
  </si>
  <si>
    <t>B5- CONTRATAÇÃO CAFÉ</t>
  </si>
  <si>
    <t>BOLETIM_RADIO_TJRN_23_01_2026_B5_CONTRATACAO_CAFE</t>
  </si>
  <si>
    <t>https://docs.google.com/document/d/1XxRi2R4W57nMWYfMSlcldOJ6jcS4ynXw1kFNaCD281I/edit?usp=drivesdk</t>
  </si>
  <si>
    <t>B4- PLANO RESTABELECIMENTO ÁGUA</t>
  </si>
  <si>
    <t>BOLETIM_RADIO_TJRN_23_01_2026_B4_PLANO_RESTABELECIMENTO_AGUA</t>
  </si>
  <si>
    <t>https://docs.google.com/document/d/1WLkaOYSJ2l4TvxMWcUGn2DlJTkUZTPEVhJvtsq_Ijzo/edit?usp=drivesdk</t>
  </si>
  <si>
    <t>B3- INDENIZAÇÃO CANCER PROSTATA</t>
  </si>
  <si>
    <t>BOLETIM_RADIO_TJRN_23_01_2026_B3_INDENIZACAO_CANCER_PROSTATA</t>
  </si>
  <si>
    <t>https://docs.google.com/document/d/1N4QxpFPr4K2aq8_TTNo7EwzX8h3aGPJbMaj9_VoUakk/edit?usp=drivesdk</t>
  </si>
  <si>
    <t>B2- PAGAMENTO IPTU PENDENTES</t>
  </si>
  <si>
    <t>BOLETIM_RADIO_TJRN_23_01_2026_B2_PAGAMENTO_IPTU_PENDENTES</t>
  </si>
  <si>
    <t>https://docs.google.com/document/d/1m_KdRgCB7kaTrCCbKYWm0qr8lFhHc0Q2hy6JVlGagvo/edit?usp=drivesdk</t>
  </si>
  <si>
    <t>B1- GESTÃO DOCUMENTAL RECICLAGEM</t>
  </si>
  <si>
    <t>BOLETIM_RADIO_TJRN_23_01_2026_B1_GESTAO_DOCUMENTAL_RECICLAGEM</t>
  </si>
  <si>
    <t>https://docs.google.com/document/d/1Jf4Wphtn7pdRmeqfE9FwPCzez7Iz_IiX0JEaQi8wars/edit?usp=drivesdk</t>
  </si>
  <si>
    <t xml:space="preserve">B10- MPRN DENUNCIA SONEGAÇÃO FISCAL </t>
  </si>
  <si>
    <t>BOLETIM_RADIO_TJRN_22_01_2026_B10_MPRN_DENUNCIA_SONEGACAO_FISCAL_</t>
  </si>
  <si>
    <t>https://docs.google.com/document/d/1ZCLcR8nnc6h9_MrJmAm_gQH2YgCEecbrGymJTqRRvWg/edit?usp=drivesdk</t>
  </si>
  <si>
    <t>B9- TCE/RN EXIGÊNCIA TRANSPARênCIA PARLAMENTARES</t>
  </si>
  <si>
    <t>BOLETIM_RADIO_TJRN_22_01_2026_B9_TCERN_EXIGENCIA_TRANSPARENCIA_PARLAMENTARES</t>
  </si>
  <si>
    <t>https://docs.google.com/document/d/15YFNR9rAX_vHVS1ye5MFaB_khDW_ZPRO6_kFzewA5Fc/edit?usp=drivesdk</t>
  </si>
  <si>
    <t xml:space="preserve">B8- TSF JULGAMENTOS TEMAS REPERCUSSÃO </t>
  </si>
  <si>
    <t>BOLETIM_RADIO_TJRN_22_01_2026_B8_TSF_JULGAMENTOS_TEMAS_REPERCUSSAO_</t>
  </si>
  <si>
    <t>https://docs.google.com/document/d/1Ow0YbfQNMBquCsprH1rlghiSyZk7xS_-U7JpNKOPuGY/edit?usp=drivesdk</t>
  </si>
  <si>
    <t xml:space="preserve">B7- DPERN MEDICAMENTOS SUS </t>
  </si>
  <si>
    <t>BOLETIM_RADIO_TJRN_22_01_2026_B7_DPERN_MEDICAMENTOS_SUS_</t>
  </si>
  <si>
    <t>https://docs.google.com/document/d/1s56OXjNJULwWAqwv-QZ2z8sRYAMMe_JNLXueSTcU8Fo/edit?usp=drivesdk</t>
  </si>
  <si>
    <t xml:space="preserve">B6- TRT/RN EDITAL VENDA DIRETA BENS </t>
  </si>
  <si>
    <t>BOLETIM_RADIO_TJRN_22_01_2026_B6_TRTRN_EDITAL_VENDA_DIRETA_BENS_</t>
  </si>
  <si>
    <t>https://docs.google.com/document/d/1Yh-QASuxaY9DgWOUc-7-KjYDt3u5dFoypqLO1QCyk58/edit?usp=drivesdk</t>
  </si>
  <si>
    <t xml:space="preserve">B5- TRT/RN PRAZOS PROCESSUAIS </t>
  </si>
  <si>
    <t>BOLETIM_RADIO_TJRN_22_01_2026_B5_TRTRN_PRAZOS_PROCESSUAIS_</t>
  </si>
  <si>
    <t>https://docs.google.com/document/d/1AUamK7jcz3oRm0e9Wdg1OVE1JLRCFcVTq58Jd2QYBvE/edit?usp=drivesdk</t>
  </si>
  <si>
    <t>B4 - PRÊMIO MAIOR COMUNIDADE QUILOMBOLA</t>
  </si>
  <si>
    <t>BOLETIM_RADIO_TJRN_22_01_2026_B4_PREMIO_MAIOR_COMUNIDADE_QUILOMBOLA</t>
  </si>
  <si>
    <t>https://docs.google.com/document/d/1bqfqtL8GVYprCNoYJkiZmZ6IeJNLvwdcakEH9-ZOqnc/edit?usp=drivesdk</t>
  </si>
  <si>
    <t>B3 - CICLO CURSOS JUSTIÇA 4</t>
  </si>
  <si>
    <t>BOLETIM_RADIO_TJRN_22_01_2026_B3_CICLO_CURSOS_JUSTICA_4</t>
  </si>
  <si>
    <t>https://docs.google.com/document/d/18eKJxGYp-kqoPM6gXvaF5KdWql6qSPWFE11ajMmEaH0/edit?usp=drivesdk</t>
  </si>
  <si>
    <t>B2 - CNJ PROGRAMA INTERNACIONAL MAGISTRADAS</t>
  </si>
  <si>
    <t>BOLETIM_RADIO_TJRN_22_01_2026_B2_CNJ_PROGRAMA_INTERNACIONAL_MAGISTRADAS</t>
  </si>
  <si>
    <t>https://docs.google.com/document/d/1cNu-MeShbSsrMZ_Lp5oKC92l41JZnqp8hP-F2bC8Fqo/edit?usp=drivesdk</t>
  </si>
  <si>
    <t>B1 - 3 MILHÕES UNIDADE MÓVEL TRÂNSITO</t>
  </si>
  <si>
    <t>BOLETIM_RADIO_TJRN_22_01_2026_B1_3_MILHOES_UNIDADE_MOVEL_TRANSITO</t>
  </si>
  <si>
    <t>https://docs.google.com/document/d/1jji8g0msoZChVihTEv9umAlS2ErCuydY5jvrlHKDcd4/edit?usp=drivesdk</t>
  </si>
  <si>
    <t>B10 - EXAME PACIENTE PARNAMIRIM</t>
  </si>
  <si>
    <t>BOLETIM_RADIO_TJRN_21_01_2026_B10_EXAME_PACIENTE_PARNAMIRIM</t>
  </si>
  <si>
    <t>https://docs.google.com/document/d/12CC3WOZpc6ciHGv3d_sdxc2s8Y0bVbYN094r7q_p6Yw/edit?usp=drivesdk</t>
  </si>
  <si>
    <t>B9 - INDENIZAÇÃO CORTE ÁGUA</t>
  </si>
  <si>
    <t>BOLETIM_RADIO_TJRN_21_01_2026_B9_INDENIZACAO_CORTE_AGUA</t>
  </si>
  <si>
    <t>https://docs.google.com/document/d/1Gl9qUzGCF72HSpqYFkSCegVOOY5vqdkXtKa0TU_EEi0/edit?usp=drivesdk</t>
  </si>
  <si>
    <t>B8 - RETIRADA POSTES TOUROS</t>
  </si>
  <si>
    <t>BOLETIM_RADIO_TJRN_21_01_2026_B8_RETIRADA_POSTES_TOUROS</t>
  </si>
  <si>
    <t>https://docs.google.com/document/d/1p-K3WsMYUBGSH-Hsl7afKGz6owPOstWjwCYbSh_WE_U/edit?usp=drivesdk</t>
  </si>
  <si>
    <t>B7 - CONDENAÇÃO ROUBO MOSSORÓ</t>
  </si>
  <si>
    <t>BOLETIM_RADIO_TJRN_21_01_2026_B7_CONDENACAO_ROUBO_MOSSORO</t>
  </si>
  <si>
    <t>https://docs.google.com/document/d/1IEfRIs6Kob2piZdSfZNL-3VGQVaClGX0C3TUKsYjGIc/edit?usp=drivesdk</t>
  </si>
  <si>
    <t>B6 - ACORDOS UNIDADE MÓVEL TRÂNSITO</t>
  </si>
  <si>
    <t>BOLETIM_RADIO_TJRN_21_01_2026_B6_ACORDOS_UNIDADE_MOVEL_TRANSITO</t>
  </si>
  <si>
    <t>https://docs.google.com/document/d/1wV4VSLaFDOz5SaT06vW5oEE5hSEHWhzAVC70Z-P517Q/edit?usp=drivesdk</t>
  </si>
  <si>
    <t>B5 - FACULDADE DEVE RESTABELECER BOLSA</t>
  </si>
  <si>
    <t>BOLETIM_RADIO_TJRN_21_01_2026_B5_FACULDADE_DEVE_RESTABELECER_BOLSA</t>
  </si>
  <si>
    <t>https://docs.google.com/document/d/1EiZtIhOk1NQGX8gce9Z0n0bO9vqwvmwVDp3q-6xI1a8/edit?usp=drivesdk</t>
  </si>
  <si>
    <t>B4 - CLÍNICA ODONTOLÓGICA CONDENADA</t>
  </si>
  <si>
    <t>BOLETIM_RADIO_TJRN_21_01_2026_B4_CLINICA_ODONTOLOGICA_CONDENADA</t>
  </si>
  <si>
    <t>https://docs.google.com/document/d/16RYkIRMNLiDFy7dOMAs5UM0APUszbDfDBxjyJKOaSfI/edit?usp=drivesdk</t>
  </si>
  <si>
    <t>B3 - REATIVAR PERFIL 5 DIAS</t>
  </si>
  <si>
    <t>BOLETIM_RADIO_TJRN_21_01_2026_B3_REATIVAR_PERFIL_5_DIAS</t>
  </si>
  <si>
    <t>https://docs.google.com/document/d/1rsdx_E3EjyPWbJLivEuT8Volxxd-8s_qecdiDYMsZNM/edit?usp=drivesdk</t>
  </si>
  <si>
    <t>B2 - INDENIZAÇÃO TV DANIFICADA</t>
  </si>
  <si>
    <t>BOLETIM_RADIO_TJRN_21_01_2026_B2_INDENIZACAO_TV_DANIFICADA</t>
  </si>
  <si>
    <t>https://docs.google.com/document/d/10fQ4VldUkdB7FOtFl1Er0w0EMmTM5Z4jxfBjBgPEfzQ/edit?usp=drivesdk</t>
  </si>
  <si>
    <t>B1 - INDENIZAÇÃO FALTA DE ASSISTÊNCIA VOO</t>
  </si>
  <si>
    <t>BOLETIM_RADIO_TJRN_21_01_2026_B1_INDENIZACAO_FALTA_DE_ASSISTENCIA_VOO</t>
  </si>
  <si>
    <t>https://docs.google.com/document/d/1iQ9oxrKl7IXnGeCcp7SsDjzfdqV_WBJJQ0pXtTWiIzY/edit?usp=drivesdk</t>
  </si>
  <si>
    <t>B10 - ESCRITORES CÁRCERE ACADEMIA ARTES POTIGUAR</t>
  </si>
  <si>
    <t>BOLETIM_RADIO_TJRN_20_01_2026_B10_ESCRITORES_CARCERE_ACADEMIA_ARTES_POTIGUAR</t>
  </si>
  <si>
    <t>https://docs.google.com/document/d/1CTMF2mVrkJuMmaBoY_4jyJxYAFTM0o33vtIkOB-uHvM/edit?usp=drivesdk</t>
  </si>
  <si>
    <t>B9 - PERFIL DE REDE SOCIAL</t>
  </si>
  <si>
    <t>BOLETIM_RADIO_TJRN_20_01_2026_B9_PERFIL_DE_REDE_SOCIAL</t>
  </si>
  <si>
    <t>https://docs.google.com/document/d/1nIZv781vs0vFoMkuM-TaLZHD-zAcysZ1TTCkViaGN8M/edit?usp=drivesdk</t>
  </si>
  <si>
    <t>B8 - PRÊMIO CNJ DE QUALIDADE</t>
  </si>
  <si>
    <t>BOLETIM_RADIO_TJRN_20_01_2026_B8_PREMIO_CNJ_DE_QUALIDADE</t>
  </si>
  <si>
    <t>https://docs.google.com/document/d/1YuBd82_8bKySRSv6wTrepbiHcu63GiOdVmGbk1IT5cQ/edit?usp=drivesdk</t>
  </si>
  <si>
    <t>B7 -  CNJ INFOVOO</t>
  </si>
  <si>
    <t>BOLETIM_RADIO_TJRN_20_01_2026_B7_CNJ_INFOVOO</t>
  </si>
  <si>
    <t>https://docs.google.com/document/d/1CynnWLg147dkNtfJ9GuGkn2qV8J6V8Dc5RY9qcqcUyI/edit?usp=drivesdk</t>
  </si>
  <si>
    <t>B6 -  PROJETOS UPANEMA</t>
  </si>
  <si>
    <t>BOLETIM_RADIO_TJRN_20_01_2026_B6_PROJETOS_UPANEMA</t>
  </si>
  <si>
    <t>https://docs.google.com/document/d/1DCjxt9rx3_ZZcQVj3kAyXfHUZ-FKaNBqKzpgTeX1nFs/edit?usp=drivesdk</t>
  </si>
  <si>
    <t>B5- ANULAÇÃO ELEIÇÃO SÃO JOSÉ</t>
  </si>
  <si>
    <t>BOLETIM_RADIO_TJRN_20_01_2026_B5_ANULACAO_ELEICAO_SAO_JOSE</t>
  </si>
  <si>
    <t>https://docs.google.com/document/d/1xi-GNRqUeGSKTZeQJPhaKEhaDv_P6rbESQtRenvfhwU/edit?usp=drivesdk</t>
  </si>
  <si>
    <t>B4- CONDENAÇÃO ATAQUE AO VIVO</t>
  </si>
  <si>
    <t>BOLETIM_RADIO_TJRN_20_01_2026_B4_CONDENACAO_ATAQUE_AO_VIVO</t>
  </si>
  <si>
    <t>https://docs.google.com/document/d/1OW8zc-DN1Tt0kKp4tyo10JPLrGBP3yj8sEPYgREdwoo/edit?usp=drivesdk</t>
  </si>
  <si>
    <t>B3- COMPANHIA AÉREA FALHAS TAYLOR SWIFT</t>
  </si>
  <si>
    <t>BOLETIM_RADIO_TJRN_20_01_2026_B3_COMPANHIA_AEREA_FALHAS_TAYLOR_SWIFT</t>
  </si>
  <si>
    <t>https://docs.google.com/document/d/1dyMTcqQHDdQKe0FIqWKWDeod17sGPebyWBXz8zcE3B8/edit?usp=drivesdk</t>
  </si>
  <si>
    <t>B2- CAERN INDENIZAÇÃO FALHA AREIA BRANCA</t>
  </si>
  <si>
    <t>BOLETIM_RADIO_TJRN_20_01_2026_B2_CAERN_INDENIZACAO_FALHA_AREIA_BRANCA</t>
  </si>
  <si>
    <t>https://docs.google.com/document/d/1RB7prV3DAIwbrayV3EE8Oee4JK9r3CsM1WJfUUPpfc0/edit?usp=drivesdk</t>
  </si>
  <si>
    <t xml:space="preserve">B1- TRE/RN PROTOCOLO DENÚNCIAS FRAUDES CORRUPÇÃO </t>
  </si>
  <si>
    <t>BOLETIM_RADIO_TJRN_20_01_2026_B1_TRERN_PROTOCOLO_DENUNCIAS_FRAUDES_CORRUPCAO_</t>
  </si>
  <si>
    <t>https://docs.google.com/document/d/1ArsBmOQDa6iyghQbG25eRVgFbVq9g3roNj_ojrQCKQ0/edit?usp=drivesdk</t>
  </si>
  <si>
    <t xml:space="preserve">B10- ESMARN DOUTORADO INTERINSTITUCIONAL </t>
  </si>
  <si>
    <t>BOLETIM_RADIO_TJRN_19_01_2026_B10_ESMARN_DOUTORADO_INTERINSTITUCIONAL_</t>
  </si>
  <si>
    <t>https://docs.google.com/document/d/1aSUqeBkx0Axn8iwqM-C6n9PXZcmWyuqMi3qHp_qmPvo/edit?usp=drivesdk</t>
  </si>
  <si>
    <t xml:space="preserve">B9- OAB/RN CARTILHA EDUCAÇÃO INCLUSIVA </t>
  </si>
  <si>
    <t>BOLETIM_RADIO_TJRN_19_01_2026_B9_OABRN_CARTILHA_EDUCACAO_INCLUSIVA_</t>
  </si>
  <si>
    <t>https://docs.google.com/document/d/16ACRWYzXXiEhmn5Ban-7Uj4kfOHuoX5zXlFHEaMa8Ds/edit?usp=drivesdk</t>
  </si>
  <si>
    <t xml:space="preserve">B8- DPERN SELEÇÃO ESTÁGIO </t>
  </si>
  <si>
    <t>BOLETIM_RADIO_TJRN_19_01_2026_B8_DPERN_SELECAO_ESTAGIO_</t>
  </si>
  <si>
    <t>https://docs.google.com/document/d/1-x-mKh35ET0JFExKsq2fTkKqEkDaLD4Rwl2LfSkQf8Y/edit?usp=drivesdk</t>
  </si>
  <si>
    <t xml:space="preserve">B7- TJRN SUSPENDE LICITAÇÃO LIMPEZA </t>
  </si>
  <si>
    <t>BOLETIM_RADIO_TJRN_19_01_2026_B7_TJRN_SUSPENDE_LICITACAO_LIMPEZA_</t>
  </si>
  <si>
    <t>https://docs.google.com/document/d/104DMTjMsfTDXKadyDgFIAbu5dGjvMlnVB6XycVDcy90/edit?usp=drivesdk</t>
  </si>
  <si>
    <t>B6- TRT/RN MOVIMENTAÇÕES LEILÃO</t>
  </si>
  <si>
    <t>BOLETIM_RADIO_TJRN_19_01_2026_B6_TRTRN_MOVIMENTACOES_LEILAO</t>
  </si>
  <si>
    <t>https://docs.google.com/document/d/1t2wxu_4oQk8mnjRddsooDet5ntUcRINLQzzuhWsidb0/edit?usp=drivesdk</t>
  </si>
  <si>
    <t>B5- JUIZADO AEROPORTO RESOLUTIVIDADE</t>
  </si>
  <si>
    <t>BOLETIM_RADIO_TJRN_19_01_2026_B5_JUIZADO_AEROPORTO_RESOLUTIVIDADE</t>
  </si>
  <si>
    <t>https://docs.google.com/document/d/1lDa11hWX25ZC8klpO5IZ-RN43KXMvgnHcboJXTaTBWQ/edit?usp=drivesdk</t>
  </si>
  <si>
    <t>B4- OBRAS ESCOLAS TOUROS</t>
  </si>
  <si>
    <t>BOLETIM_RADIO_TJRN_19_01_2026_B4_OBRAS_ESCOLAS_TOUROS</t>
  </si>
  <si>
    <t>https://docs.google.com/document/d/1_gjcShdLPLBG3fxizcUDqA_aGnEOga1CzeipjIVzq-w/edit?usp=drivesdk</t>
  </si>
  <si>
    <t>B3- PASSAGEIRO INDENIZAÇÃO CANCELAMENTO VOO</t>
  </si>
  <si>
    <t>BOLETIM_RADIO_TJRN_19_01_2026_B3_PASSAGEIRO_INDENIZACAO_CANCELAMENTO_VOO</t>
  </si>
  <si>
    <t>https://docs.google.com/document/d/1B3wpQPcVPc4UsGVMjDDLnrGZSa9ASxLGo9vMpnEfUok/edit?usp=drivesdk</t>
  </si>
  <si>
    <t>B2- CONDENAÇÃO TROCA NÚMERO TELEFONE</t>
  </si>
  <si>
    <t>BOLETIM_RADIO_TJRN_19_01_2026_B2_CONDENACAO_TROCA_NUMERO_TELEFONE</t>
  </si>
  <si>
    <t>https://docs.google.com/document/d/1u5zgjCj7jd5bVHGZiX-mLHeYQ9JdJ64bHPO2l9dKDb0/edit?usp=drivesdk</t>
  </si>
  <si>
    <t>B1- CRESCIMENTO ADOÇÕES RN</t>
  </si>
  <si>
    <t>BOLETIM_RADIO_TJRN_19_01_2026_B1_CRESCIMENTO_ADOCOES_RN</t>
  </si>
  <si>
    <t>https://docs.google.com/document/d/1siLUBFHFWT467eWsigDfuDlvuHl3bWaN7XjfQN598e0/edit?usp=drivesdk</t>
  </si>
  <si>
    <t>B10- DIREITOS HUMANOS CNJ</t>
  </si>
  <si>
    <t>BOLETIM_RADIO_TJRN_16_01_2026_B10_DIREITOS_HUMANOS_CNJ</t>
  </si>
  <si>
    <t>https://docs.google.com/document/d/1kUUGa59c3LWIgI083dpflgPz3YlzWDUWJ3A59louaYk/edit?usp=drivesdk</t>
  </si>
  <si>
    <t>B9- INCONSTITUCIONALIDADE CONTRATAÇÃO SERVIDORES CRUZETA</t>
  </si>
  <si>
    <t>BOLETIM_RADIO_TJRN_16_01_2026_B9_INCONSTITUCIONALIDADE_CONTRATACAO_SERVIDORES_CRUZETA</t>
  </si>
  <si>
    <t>https://docs.google.com/document/d/1jTg-UyiV62MBiC_pcFQ7hatU0dLbnPGvN-R3NwZUaEg/edit?usp=drivesdk</t>
  </si>
  <si>
    <t>B8- CONDENAÇÃO SUPLEMENTO IMPRÓPRIO</t>
  </si>
  <si>
    <t>BOLETIM_RADIO_TJRN_16_01_2026_B8_CONDENACAO_SUPLEMENTO_IMPROPRIO</t>
  </si>
  <si>
    <t>https://docs.google.com/document/d/1CaeFA_o5833VD1Gec1XDCpSoPXehlbzqzwoJwvN5xmo/edit?usp=drivesdk</t>
  </si>
  <si>
    <t>B7- DANOS MORAIS IDOSA ATRASO VOO</t>
  </si>
  <si>
    <t>BOLETIM_RADIO_TJRN_16_01_2026_B7_DANOS_MORAIS_IDOSA_ATRASO_VOO</t>
  </si>
  <si>
    <t>https://docs.google.com/document/d/1yzqMg7nN4S_nlMzdDhFhD7SIuz6eJcDREgmxR36J-XM/edit?usp=drivesdk</t>
  </si>
  <si>
    <t>B6- INDENIZAÇÃO MECÂNICO FALTA PAGAMENTO</t>
  </si>
  <si>
    <t>BOLETIM_RADIO_TJRN_16_01_2026_B6_INDENIZACAO_MECANICO_FALTA_PAGAMENTO</t>
  </si>
  <si>
    <t>https://docs.google.com/document/d/1Mf7etWMyPEYKHNS8--XipGTS4Fmt8nCRQj46Y-oSI5Q/edit?usp=drivesdk</t>
  </si>
  <si>
    <t>B5- CNJ CONCILIAR É LEGAL</t>
  </si>
  <si>
    <t>BOLETIM_RADIO_TJRN_16_01_2026_B5_CNJ_CONCILIAR_E_LEGAL</t>
  </si>
  <si>
    <t>https://docs.google.com/document/d/1JfubkdpkO-tzOozMfJmongWUgEoKIu_oxaBhSb9jP2s/edit?usp=drivesdk</t>
  </si>
  <si>
    <t>B4- TRT/RN AÇÕES POPULAÇÃO DE RUA</t>
  </si>
  <si>
    <t>BOLETIM_RADIO_TJRN_16_01_2026_B4_TRTRN_ACOES_POPULACAO_DE_RUA</t>
  </si>
  <si>
    <t>https://docs.google.com/document/d/1LQzn1F04L65gkRwwO5v-Rwf1aWToEMiwVR_-TiAujRs/edit?usp=drivesdk</t>
  </si>
  <si>
    <t xml:space="preserve">B3- DPERN EDITAL FORMAÇÃO </t>
  </si>
  <si>
    <t>BOLETIM_RADIO_TJRN_16_01_2026_B3_DPERN_EDITAL_FORMACAO_</t>
  </si>
  <si>
    <t>https://docs.google.com/document/d/1dgKfJXeVce0WpXUaYTD5QNRJZPTtPFc3MXEnhY7evxA/edit?usp=drivesdk</t>
  </si>
  <si>
    <t xml:space="preserve">B2- ESMARN 2025 NOVAS PARCERIAS </t>
  </si>
  <si>
    <t>BOLETIM_RADIO_TJRN_16_01_2026_B2_ESMARN_2025_NOVAS_PARCERIAS_</t>
  </si>
  <si>
    <t>https://docs.google.com/document/d/1F0m_xt-1LtS7wtjV2fl7PmxdXGY7q_t55n2PJkOuVxw/edit?usp=drivesdk</t>
  </si>
  <si>
    <t xml:space="preserve">B1- PLANTÃO JUDICIÁRIO SÁBADO </t>
  </si>
  <si>
    <t>BOLETIM_RADIO_TJRN_16_01_2026_B1_PLANTAO_JUDICIARIO_SABADO_</t>
  </si>
  <si>
    <t>https://docs.google.com/document/d/1RU0AlM8uAMLnNHBNQhOgaRpuqZOF5wGZOBOTBs34PTc/edit?usp=drivesdk</t>
  </si>
  <si>
    <t>B10- MPRN DIÁLOGO EDUCAÇÃO COVID-19</t>
  </si>
  <si>
    <t>BOLETIM_RADIO_TJRN_15_01_2026_B10_MPRN_DIALOGO_EDUCACAO_COVID_19</t>
  </si>
  <si>
    <t>https://docs.google.com/document/d/1GwyJuG5LlvTa9D9rzzKmmCLTPoMhQER7AIzX0Dq1R7w/edit?usp=drivesdk</t>
  </si>
  <si>
    <t>B9- PRÊMIO CNJ QUALIDADE</t>
  </si>
  <si>
    <t>BOLETIM_RADIO_TJRN_15_01_2026_B9_PREMIO_CNJ_QUALIDADE</t>
  </si>
  <si>
    <t>https://docs.google.com/document/d/13UTt5vruL3SzHqlQBJ3WCOAdvUXWZOaUhsIfy1RXJHQ/edit?usp=drivesdk</t>
  </si>
  <si>
    <t>B8- CAERN ACIDENTE BUEIRO</t>
  </si>
  <si>
    <t>BOLETIM_RADIO_TJRN_15_01_2026_B8_CAERN_ACIDENTE_BUEIRO</t>
  </si>
  <si>
    <t>https://docs.google.com/document/d/1lTxueLruIOjBVfikTCnHiiCSDRJ_cEHPgymmkvt6iRk/edit?usp=drivesdk</t>
  </si>
  <si>
    <t>B7- ASSADOR PIZZA DEFEITO</t>
  </si>
  <si>
    <t>BOLETIM_RADIO_TJRN_15_01_2026_B7_ASSADOR_PIZZA_DEFEITO</t>
  </si>
  <si>
    <t>https://docs.google.com/document/d/1fpV42IwdiJjUkbw2okhzO0duMHzs1tBYF1RfTQI3ZxQ/edit?usp=drivesdk</t>
  </si>
  <si>
    <t>B6- ESCOLA NEGATIVAÇÃO INDEVIDA</t>
  </si>
  <si>
    <t>BOLETIM_RADIO_TJRN_15_01_2026_B6_ESCOLA_NEGATIVACAO_INDEVIDA</t>
  </si>
  <si>
    <t>https://docs.google.com/document/d/1EsTI1vfN1drioUlpbrVa6p2FvRFVbQ-28P1w4OxXnGQ/edit?usp=drivesdk</t>
  </si>
  <si>
    <t xml:space="preserve">B5- REPOJURN QUALIS CAPES </t>
  </si>
  <si>
    <t>BOLETIM_RADIO_TJRN_15_01_2026_B5_REPOJURN_QUALIS_CAPES_</t>
  </si>
  <si>
    <t>https://docs.google.com/document/d/1c4Xr1uae6rjruati-FrnjHO3cCZYiR-d3s0g7JkjSTs/edit?usp=drivesdk</t>
  </si>
  <si>
    <t xml:space="preserve">B4- MPRN REGULARIZAÇÃO EXAMES TARCÍSIO MAIA </t>
  </si>
  <si>
    <t>BOLETIM_RADIO_TJRN_15_01_2026_B4_MPRN_REGULARIZACAO_EXAMES_TARCISIO_MAIA_</t>
  </si>
  <si>
    <t>https://docs.google.com/document/d/13kx9z-R3zvm7qt7aphwgtk2WaVo9VtQWRtrCZ1n8FGI/edit?usp=drivesdk</t>
  </si>
  <si>
    <t xml:space="preserve">B3- DPERN NOVO DEFENSOR </t>
  </si>
  <si>
    <t>BOLETIM_RADIO_TJRN_15_01_2026_B3_DPERN_NOVO_DEFENSOR_</t>
  </si>
  <si>
    <t>https://docs.google.com/document/d/1ZLVh6jaoDn6l9FlOvnK3pd8ing1pbVHF8hE-Xx_IyFo/edit?usp=drivesdk</t>
  </si>
  <si>
    <t xml:space="preserve">B2- TRT/RN INVENTÁRIO PROCESSOS ORGANIZACIONAIS </t>
  </si>
  <si>
    <t>BOLETIM_RADIO_TJRN_15_01_2026_B2_TRTRN_INVENTARIO_PROCESSOS_ORGANIZACIONAIS_</t>
  </si>
  <si>
    <t>https://docs.google.com/document/d/1necGOadpt2w--fxB2xy1MwRjMyFeC7GA4hGeLjgSJiM/edit?usp=drivesdk</t>
  </si>
  <si>
    <t xml:space="preserve">B1- IPEM FISCALIZA INSTRUMENTOS MEDIÇÃO </t>
  </si>
  <si>
    <t>BOLETIM_RADIO_TJRN_15_01_2026_B1_IPEM_FISCALIZA_INSTRUMENTOS_MEDICAO_</t>
  </si>
  <si>
    <t>https://docs.google.com/document/d/1XKMKII0bg7UxlXKHH-1-8mizjJrHhMctXXV1THQF6Oo/edit?usp=drivesdk</t>
  </si>
  <si>
    <t>B10- CARTILHA ENTREGA ADOÇÃO</t>
  </si>
  <si>
    <t>BOLETIM_RADIO_TJRN_14_01_2026_B10_CARTILHA_ENTREGA_ADOCAO</t>
  </si>
  <si>
    <t>https://docs.google.com/document/d/1sj4e6NADsTH8gqplLpSg3jmY62swPFDd3hGC43caURk/edit?usp=drivesdk</t>
  </si>
  <si>
    <t>B9- PAPEL TJRN OUVIDORIA</t>
  </si>
  <si>
    <t>BOLETIM_RADIO_TJRN_14_01_2026_B9_PAPEL_TJRN_OUVIDORIA</t>
  </si>
  <si>
    <t>https://docs.google.com/document/d/1Mllhr_VVO3WkbnD0qZOS9gJQdkMLxL0DJr3IVSniiQA/edit?usp=drivesdk</t>
  </si>
  <si>
    <t>B8- TJRN POSSE GESTÃO DEFENSORIA PÚBLICA</t>
  </si>
  <si>
    <t>BOLETIM_RADIO_TJRN_14_01_2026_B8_TJRN_POSSE_GESTAO_DEFENSORIA_PUBLICA</t>
  </si>
  <si>
    <t>https://docs.google.com/document/d/1bAiJHN0---p2gSJuzgUhQyjT6QMq_T2Yx5v3o5NjbWs/edit?usp=drivesdk</t>
  </si>
  <si>
    <t>B7- PENAS PECUNIÁRIAS</t>
  </si>
  <si>
    <t>BOLETIM_RADIO_TJRN_14_01_2026_B7_PENAS_PECUNIARIAS</t>
  </si>
  <si>
    <t>https://docs.google.com/document/d/1VE97YBuL3kusMHpxlP1bjdvkFB7wQa8cc82BAWj-xVI/edit?usp=drivesdk</t>
  </si>
  <si>
    <t>B6- INDENIZAÇÃO USO IMAGEM SEM AUTORIZAÇÃO</t>
  </si>
  <si>
    <t>BOLETIM_RADIO_TJRN_14_01_2026_B6_INDENIZACAO_USO_IMAGEM_SEM_AUTORIZACAO</t>
  </si>
  <si>
    <t>https://docs.google.com/document/d/1zjom5NMEHAtDxlWXBMS74O7rfqZaM4nRawFsFVQ9_Bk/edit?usp=drivesdk</t>
  </si>
  <si>
    <t>B5- DOCUMENTO PÓS MORTE</t>
  </si>
  <si>
    <t>BOLETIM_RADIO_TJRN_14_01_2026_B5_DOCUMENTO_POS_MORTE</t>
  </si>
  <si>
    <t>https://docs.google.com/document/d/19UgK-1gqUqVKOGr9xyBWa9e3-4nWgoSqHzCDJbUYaw8/edit?usp=drivesdk</t>
  </si>
  <si>
    <t>B4- CONDENAÇÃO JOALHEIRO INDENIZAÇÃO CLIENTE</t>
  </si>
  <si>
    <t>BOLETIM_RADIO_TJRN_14_01_2026_B4_CONDENACAO_JOALHEIRO_INDENIZACAO_CLIENTE</t>
  </si>
  <si>
    <t>https://docs.google.com/document/d/1tkrKAF0zID-xeYCFmI9bIZ6QhJ6kT1YQxtTVBsAL4vw/edit?usp=drivesdk</t>
  </si>
  <si>
    <t>B3- DPERN SANTO ANTÔNIO EDITAL</t>
  </si>
  <si>
    <t>BOLETIM_RADIO_TJRN_14_01_2026_B3_DPERN_SANTO_ANTONIO_EDITAL</t>
  </si>
  <si>
    <t>https://docs.google.com/document/d/1YJRx8fEkj2UqEyVn6z7Vdoo_ek5y2XP-dO7U_Qep0b4/edit?usp=drivesdk</t>
  </si>
  <si>
    <t xml:space="preserve">B2- IPERN CONVOCA APOSENTADOS </t>
  </si>
  <si>
    <t>BOLETIM_RADIO_TJRN_14_01_2026_B2_IPERN_CONVOCA_APOSENTADOS_</t>
  </si>
  <si>
    <t>https://docs.google.com/document/d/1oZyva3ZB3vMQngBQ8jGIemrRS1m8H6wC2OLN6qPbmEU/edit?usp=drivesdk</t>
  </si>
  <si>
    <t xml:space="preserve">B1- TCE/RN MUNICÍPIOS CUSTEAR DIÁRIAS </t>
  </si>
  <si>
    <t>BOLETIM_RADIO_TJRN_14_01_2026_B1_TCERN_MUNICIPIOS_CUSTEAR_DIARIAS_</t>
  </si>
  <si>
    <t>https://docs.google.com/document/d/17Znj6HQPVop_s5nfb9c7R7rSROQRkoOF8yukpnFJb7g/edit?usp=drivesdk</t>
  </si>
  <si>
    <t>B10- ESMARN INSCRIÇÕES CURSO IDIOMAS</t>
  </si>
  <si>
    <t>BOLETIM_RADIO_TJRN_13_01_2026_B10_ESMARN_INSCRICOES_CURSO_IDIOMAS</t>
  </si>
  <si>
    <t>https://docs.google.com/document/d/1dmPmllyqf5PwZpBRvCTiv_jcdTWsr6fvSHN2D_488-4/edit?usp=drivesdk</t>
  </si>
  <si>
    <t>B9- DOUTORADO ESMARN</t>
  </si>
  <si>
    <t>BOLETIM_RADIO_TJRN_13_01_2026_B9_DOUTORADO_ESMARN</t>
  </si>
  <si>
    <t>https://docs.google.com/document/d/1zNeIHSoBqDgIXstnpNrg71U5cSbKzyOyOPohTNu4KGE/edit?usp=drivesdk</t>
  </si>
  <si>
    <t>B8- CENTRO ESTUDOS STF</t>
  </si>
  <si>
    <t>BOLETIM_RADIO_TJRN_13_01_2026_B8_CENTRO_ESTUDOS_STF</t>
  </si>
  <si>
    <t>https://docs.google.com/document/d/1vEAasniGuGUsfOoBsMXzuXHwbcI9w3NDLHN4a5iNV0Y/edit?usp=drivesdk</t>
  </si>
  <si>
    <t>B7- TRT CARTILHA DADOS PESSOAIS</t>
  </si>
  <si>
    <t>BOLETIM_RADIO_TJRN_13_01_2026_B7_TRT_CARTILHA_DADOS_PESSOAIS</t>
  </si>
  <si>
    <t>https://docs.google.com/document/d/1hQ9zossf3V3QMdB2xapJ7YTZQiV5obZhZYffsXKfr6Q/edit?usp=drivesdk</t>
  </si>
  <si>
    <t>B6- ACORDO CEJUSC FUTEBOL ASSU</t>
  </si>
  <si>
    <t>BOLETIM_RADIO_TJRN_13_01_2026_B6_ACORDO_CEJUSC_FUTEBOL_ASSU</t>
  </si>
  <si>
    <t>https://docs.google.com/document/d/1K9xJGwMff2XRqU6DPUrZluOk_Cwytt-XEimtOckN5k4/edit?usp=drivesdk</t>
  </si>
  <si>
    <t>B5- TRT CAMPANHA NACIONAL JANEIRO BRANCO</t>
  </si>
  <si>
    <t>BOLETIM_RADIO_TJRN_13_01_2026_B5_TRT_CAMPANHA_NACIONAL_JANEIRO_BRANCO</t>
  </si>
  <si>
    <t>https://docs.google.com/document/d/1gDcijjXYfhRGdiRw--Kk5Ug6NPSGedEmFNvUO1PE8oM/edit?usp=drivesdk</t>
  </si>
  <si>
    <t>B4- INDENIZAÇÃO BAGAGEM DANIFICADA</t>
  </si>
  <si>
    <t>BOLETIM_RADIO_TJRN_13_01_2026_B4_INDENIZACAO_BAGAGEM_DANIFICADA</t>
  </si>
  <si>
    <t>https://docs.google.com/document/d/1JoRBNBVe3d0rReQw64FZpgZhEMbEwY8Mmcy2-TNqWOY/edit?usp=drivesdk</t>
  </si>
  <si>
    <t>B3- DEVOLVER REPARAR ANGICOS</t>
  </si>
  <si>
    <t>BOLETIM_RADIO_TJRN_13_01_2026_B3_DEVOLVER_REPARAR_ANGICOS</t>
  </si>
  <si>
    <t>https://docs.google.com/document/d/1abMW9Wc221RkoapYeFmtu7l-j5Ky8BVwfTZcD7rERX0/edit?usp=drivesdk</t>
  </si>
  <si>
    <t>B2- CONDENAÇÃO VANDALISMO AGRESSÕES</t>
  </si>
  <si>
    <t>BOLETIM_RADIO_TJRN_13_01_2026_B2_CONDENACAO_VANDALISMO_AGRESSOES</t>
  </si>
  <si>
    <t>https://docs.google.com/document/d/16erW9TfIN0HCoCVJBBMjf3KUz_rJMKZnkT4FDbkAaL0/edit?usp=drivesdk</t>
  </si>
  <si>
    <t>B1- CAERN SUBSTITUIÇÃO ADVOGADOS CONCURSO</t>
  </si>
  <si>
    <t>BOLETIM_RADIO_TJRN_13_01_2026_B1_CAERN_SUBSTITUICAO_ADVOGADOS_CONCURSO</t>
  </si>
  <si>
    <t>https://docs.google.com/document/d/1C_etuc4JjyWF1MHLpoQBUhTpokOzBp9Qcn3caR0COsQ/edit?usp=drivesdk</t>
  </si>
  <si>
    <t>B10- BANCO TALENTOS CNJ</t>
  </si>
  <si>
    <t>BOLETIM_RADIO_TJRN_12_01_2026_B10_BANCO_TALENTOS_CNJ</t>
  </si>
  <si>
    <t>https://docs.google.com/document/d/1arlj630XMZSU6QAlbUob3uVvf6ffnhDuEbRR2F5Tpcs/edit?usp=drivesdk</t>
  </si>
  <si>
    <t>B9- DOIS ANOS PROJETO NOVOS CAMINHOS</t>
  </si>
  <si>
    <t>BOLETIM_RADIO_TJRN_12_01_2026_B9_DOIS_ANOS_PROJETO_NOVOS_CAMINHOS</t>
  </si>
  <si>
    <t>https://docs.google.com/document/d/1LJe0V-Lqj4Cdb2X53sseqdDHEm_ejTIltaFL8mdFxXI/edit?usp=drivesdk</t>
  </si>
  <si>
    <t>B8- MPRN APURAÇÃO APOLOGIA NAZISMO</t>
  </si>
  <si>
    <t>BOLETIM_RADIO_TJRN_12_01_2026_B8_MPRN_APURACAO_APOLOGIA_NAZISMO</t>
  </si>
  <si>
    <t>https://docs.google.com/document/d/1rJqWwE_42u2yQyQxPe5eJwIektu4Hcd8xCxanAaVOec/edit?usp=drivesdk</t>
  </si>
  <si>
    <t>B7- MPRN CONVOCAÇÃO PROFESSORES ESTADO</t>
  </si>
  <si>
    <t>BOLETIM_RADIO_TJRN_12_01_2026_B7_MPRN_CONVOCACAO_PROFESSORES_ESTADO</t>
  </si>
  <si>
    <t>https://docs.google.com/document/d/1CXWZyvopUPV1eV-56Wmo2fSfhIYoP7sspp8oDlrMyzg/edit?usp=drivesdk</t>
  </si>
  <si>
    <t xml:space="preserve">B6- DPERN RESULTADOS BIÊNIOS </t>
  </si>
  <si>
    <t>BOLETIM_RADIO_TJRN_12_01_2026_B6_DPERN_RESULTADOS_BIENIOS_</t>
  </si>
  <si>
    <t>https://docs.google.com/document/d/1g2Rw4UTT0PamI9G4YCrUo5U5kVjpLpLLrjoKk0w9hZg/edit?usp=drivesdk</t>
  </si>
  <si>
    <t>B5- TJRN EMPRESA ELETRONICOS DEFEITOS</t>
  </si>
  <si>
    <t>BOLETIM_RADIO_TJRN_12_01_2026_B5_TJRN_EMPRESA_ELETRONICOS_DEFEITOS</t>
  </si>
  <si>
    <t>https://docs.google.com/document/d/12O6LmlCU8cNK4Tj1yFsjFJmAAP7E0boV5JfLw4rdZ1c/edit?usp=drivesdk</t>
  </si>
  <si>
    <t xml:space="preserve">B4- TJRN JUIZADO VIOLÊNCIA DOMÉSTICA </t>
  </si>
  <si>
    <t>BOLETIM_RADIO_TJRN_12_01_2026_B4_TJRN_JUIZADO_VIOLENCIA_DOMESTICA_</t>
  </si>
  <si>
    <t>https://docs.google.com/document/d/1RJsiZIDkgPYzFfIV1exqLicXEAGayhTws7IBZODqTXc/edit?usp=drivesdk</t>
  </si>
  <si>
    <t>B3- TJRN PLANO SAÚDE TEA CRIANÇA</t>
  </si>
  <si>
    <t>BOLETIM_RADIO_TJRN_12_01_2026_B3_TJRN_PLANO_SAUDE_TEA_CRIANCA</t>
  </si>
  <si>
    <t>https://docs.google.com/document/d/1JoevkxMAxuMjnppBlPYI6z8SN6ldR4r2EMKm9LhwwlA/edit?usp=drivesdk</t>
  </si>
  <si>
    <t xml:space="preserve">B2- TJRN MULHER PROVOCA ACIDENTE </t>
  </si>
  <si>
    <t>BOLETIM_RADIO_TJRN_12_01_2026_B2_TJRN_MULHER_PROVOCA_ACIDENTE_</t>
  </si>
  <si>
    <t>https://docs.google.com/document/d/1OCF9Bd48l3DOYFZd2DF_gbtGOOFQJmmElUEdMW_blyg/edit?usp=drivesdk</t>
  </si>
  <si>
    <t xml:space="preserve">B1- JUIZADO ESPECIAL PARNAMIRIM ESTÁGIO </t>
  </si>
  <si>
    <t>BOLETIM_RADIO_TJRN_12_01_2026_B1_JUIZADO_ESPECIAL_PARNAMIRIM_ESTAGIO_</t>
  </si>
  <si>
    <t>https://docs.google.com/document/d/1w484017dhnFp_WA7r0C7ej4-HIJJHg6fcnsL9s6IEAA/edit?usp=drivesdk</t>
  </si>
  <si>
    <t xml:space="preserve">B10- TJRN AGRESSOR PAIS INDENIZAR ATAQUE FÍSICO </t>
  </si>
  <si>
    <t>BOLETIM_RADIO_TJRN_09_01_2026_B10_TJRN_AGRESSOR_PAIS_INDENIZAR_ATAQUE_FISICO_</t>
  </si>
  <si>
    <t>https://docs.google.com/document/d/1SVofjg4_cWZmx6suRDUCWVslqBQP6p6UvfRsc2cmVmY/edit?usp=drivesdk</t>
  </si>
  <si>
    <t>B9- TJRN JUSTIÇA PROÍBE COSERN AREZ</t>
  </si>
  <si>
    <t>BOLETIM_RADIO_TJRN_09_01_2026_B9_TJRN_JUSTICA_PROIBE_COSERN_AREZ</t>
  </si>
  <si>
    <t>https://docs.google.com/document/d/1Llmm_P8mhgxgVg0Yx5MhekhY94BD34Bg81puUlMv4o0/edit?usp=drivesdk</t>
  </si>
  <si>
    <t xml:space="preserve">B8- TJRN EXCLUSÃO EMPRESA LICITAÇÃO </t>
  </si>
  <si>
    <t>BOLETIM_RADIO_TJRN_09_01_2026_B8_TJRN_EXCLUSAO_EMPRESA_LICITACAO_</t>
  </si>
  <si>
    <t>https://docs.google.com/document/d/10NBXnvRmZyyvcSOjkDMgb61tYKPySTiks4wIorcn8R8/edit?usp=drivesdk</t>
  </si>
  <si>
    <t xml:space="preserve">B7- TJRN VICE-PRESIDÊNCIA PROCESSO SELETIVO </t>
  </si>
  <si>
    <t>BOLETIM_RADIO_TJRN_09_01_2026_B7_TJRN_VICE_PRESIDENCIA_PROCESSO_SELETIVO_</t>
  </si>
  <si>
    <t>https://docs.google.com/document/d/1emdNjPcYpVugQYwFaFTU5OyPeEeNASAs7u_cUrIN-W0/edit?usp=drivesdk</t>
  </si>
  <si>
    <t>B6- CONCESSIONÁRIA ENERGIA CONDENADA</t>
  </si>
  <si>
    <t>BOLETIM_RADIO_TJRN_09_01_2026_B6_CONCESSIONARIA_ENERGIA_CONDENADA</t>
  </si>
  <si>
    <t>https://docs.google.com/document/d/1gUbzAl0JUPn15R0fSdhiW3Pg4p3N8G9dqZrTtsYQAms/edit?usp=drivesdk</t>
  </si>
  <si>
    <t xml:space="preserve">B5- PERÍCIA DOCUMENTO DIGITAL CONSUMIDOR </t>
  </si>
  <si>
    <t>BOLETIM_RADIO_TJRN_09_01_2026_B5_PERICIA_DOCUMENTO_DIGITAL_CONSUMIDOR_</t>
  </si>
  <si>
    <t>https://docs.google.com/document/d/1ak6eH1SRuVLgPvru89IUgHcx1KIrdjcRQKoTuuYVBq4/edit?usp=drivesdk</t>
  </si>
  <si>
    <t xml:space="preserve">B4- TJRN JUSTIÇA RECONHECE DÍVIDA IRMÃOS </t>
  </si>
  <si>
    <t>BOLETIM_RADIO_TJRN_09_01_2026_B4_TJRN_JUSTICA_RECONHECE_DIVIDA_IRMAOS_</t>
  </si>
  <si>
    <t>https://docs.google.com/document/d/1uhOqEy_0x8fTY5kmOsV4u2wvyItReptkaAui_Av9eYY/edit?usp=drivesdk</t>
  </si>
  <si>
    <t xml:space="preserve">B3- JUIZADOS ESPECIAIS SELEÇÃO </t>
  </si>
  <si>
    <t>BOLETIM_RADIO_TJRN_09_01_2026_B3_JUIZADOS_ESPECIAIS_SELECAO_</t>
  </si>
  <si>
    <t>https://docs.google.com/document/d/11sRtAQlzLLovR7AxwrZs0ZWCpVfcBj7oyBxg71Fnelc/edit?usp=drivesdk</t>
  </si>
  <si>
    <t>B2 - CNJ PROTEÇÃO MULHERES JUDICIÁRIO</t>
  </si>
  <si>
    <t>BOLETIM_RADIO_TJRN_09_01_2026_B2_CNJ_PROTECAO_MULHERES_JUDICIARIO</t>
  </si>
  <si>
    <t>https://docs.google.com/document/d/1wfiTVAEONDehoA8IJ7asZNPxybhnmwOvq_4w_XN_DXc/edit?usp=drivesdk</t>
  </si>
  <si>
    <t xml:space="preserve">B1- TJRN SESSÃO ABERTURA </t>
  </si>
  <si>
    <t>BOLETIM_RADIO_TJRN_09_01_2026_B1_TJRN_SESSAO_ABERTURA_</t>
  </si>
  <si>
    <t>https://docs.google.com/document/d/1pnN5MR_IG-4NS3I5P9AaZwupNsKfrK_hnDt5psC3IL0/edit?usp=drivesdk</t>
  </si>
  <si>
    <t>B10- CHAPA ELEIÇÕES ESCOLARES LAGOA NOVA</t>
  </si>
  <si>
    <t>BOLETIM_RADIO_TJRN_08_01_2026_B10_CHAPA_ELEICOES_ESCOLARES_LAGOA_NOVA</t>
  </si>
  <si>
    <t>https://docs.google.com/document/d/1je_IEfD8YKgaOl9qxH0Favw1rkWcz4BR_N_4MoBeS0o/edit?usp=drivesdk</t>
  </si>
  <si>
    <t>B9- HOMEM CONDENADO VIOLÊNCIA PSICOLÓGICA</t>
  </si>
  <si>
    <t>BOLETIM_RADIO_TJRN_08_01_2026_B9_HOMEM_CONDENADO_VIOLENCIA_PSICOLOGICA</t>
  </si>
  <si>
    <t>https://docs.google.com/document/d/1o1dzrOKEP-ckPU1TubTnoVilNkdzP_I9Hp52soF8qOs/edit?usp=drivesdk</t>
  </si>
  <si>
    <t>B8- PROGRESSÃO PENA CURSO SUPERIOR</t>
  </si>
  <si>
    <t>BOLETIM_RADIO_TJRN_08_01_2026_B8_PROGRESSAO_PENA_CURSO_SUPERIOR</t>
  </si>
  <si>
    <t>https://docs.google.com/document/d/1Uq-Qqo-rUAgIvEX6X4BiVHjmJHC0_lUm1w8pD_2s9nw/edit?usp=drivesdk</t>
  </si>
  <si>
    <t>B7- NULIDADE CONTRATO PREFEITURA MONTE ALEGRE</t>
  </si>
  <si>
    <t>BOLETIM_RADIO_TJRN_08_01_2026_B7_NULIDADE_CONTRATO_PREFEITURA_MONTE_ALEGRE</t>
  </si>
  <si>
    <t>https://docs.google.com/document/d/1Gs73UKNXcEvp4XsJMSR2C86DMpZLngexKaNSNmcJ-0k/edit?usp=drivesdk</t>
  </si>
  <si>
    <t>B6- TRIO CONDENADO ESTELIONATO ELETRÔNICO</t>
  </si>
  <si>
    <t>BOLETIM_RADIO_TJRN_08_01_2026_B6_TRIO_CONDENADO_ESTELIONATO_ELETRONICO</t>
  </si>
  <si>
    <t>https://docs.google.com/document/d/1R8ncR_THpI9ZcTU-XHXRxphDG2zvyGMtwBDLVfJB_MY/edit?usp=drivesdk</t>
  </si>
  <si>
    <t>B5- EMPRESA CONTRATADA TARCÍSIO MAIA</t>
  </si>
  <si>
    <t>BOLETIM_RADIO_TJRN_08_01_2026_B5_EMPRESA_CONTRATADA_TARCISIO_MAIA</t>
  </si>
  <si>
    <t>https://docs.google.com/document/d/1ifi_g-20BarnNmjgMAdFad__lHrCz7CQah5OgKksMYA/edit?usp=drivesdk</t>
  </si>
  <si>
    <t>B4- INDENIZAÇÃO VOO CANCELADO</t>
  </si>
  <si>
    <t>BOLETIM_RADIO_TJRN_08_01_2026_B4_INDENIZACAO_VOO_CANCELADO</t>
  </si>
  <si>
    <t>https://docs.google.com/document/d/1bt1zkTJyMfUvcPz2LscQaeb15x7z5Eb8wyR2uMXCWfw/edit?usp=drivesdk</t>
  </si>
  <si>
    <t>B3- CNJ SISTEMA NOVA VERSÃO</t>
  </si>
  <si>
    <t>BOLETIM_RADIO_TJRN_08_01_2026_B3_CNJ_SISTEMA_NOVA_VERSAO</t>
  </si>
  <si>
    <t>https://docs.google.com/document/d/13YwlBlPxvCqC1VY2JA29lRr4aqczvb7S__q1RtIzLcs/edit?usp=drivesdk</t>
  </si>
  <si>
    <t>B2 - TRT/RN RETOMA ATIVIDADES</t>
  </si>
  <si>
    <t>BOLETIM_RADIO_TJRN_08_01_2026_B2_TRTRN_RETOMA_ATIVIDADES</t>
  </si>
  <si>
    <t>https://docs.google.com/document/d/1ChOj1EFv5DXUC4wukpNt9JmZgaP4SiOz5CPu2nbzoLc/edit?usp=drivesdk</t>
  </si>
  <si>
    <t>B1- RESPONSÁVEL INTERINO AFONSO BEZERRA</t>
  </si>
  <si>
    <t>BOLETIM_RADIO_TJRN_08_01_2026_B1_RESPONSAVEL_INTERINO_AFONSO_BEZERRA</t>
  </si>
  <si>
    <t>https://docs.google.com/document/d/1irp_XhmkRlMAJqRpSSd86QcO-_M0QGQZcaxtguNBv6U/edit?usp=drivesdk</t>
  </si>
  <si>
    <t>B10 - CAERN DEVE PAGAR DANOS MORAIS</t>
  </si>
  <si>
    <t>BOLETIM_RADIO_TJRN_07_01_2026_B10_CAERN_DEVE_PAGAR_DANOS_MORAIS</t>
  </si>
  <si>
    <t>https://docs.google.com/document/d/1aeHS39qqMEkRi1nfetsByZai56RdU24mV-3KIzcC1So/edit?usp=drivesdk</t>
  </si>
  <si>
    <t>B9 - LIGAÇÃO DE ENERGIA PARAÚ</t>
  </si>
  <si>
    <t>BOLETIM_RADIO_TJRN_07_01_2026_B9_LIGACAO_DE_ENERGIA_PARAU</t>
  </si>
  <si>
    <t>https://docs.google.com/document/d/1SJedls0QD2tEbs1kM81GaliTz95lXG662oYO6KGEZwI/edit?usp=drivesdk</t>
  </si>
  <si>
    <t>B8 - INDENIZAÇÃO COMPRA DE BERÇO</t>
  </si>
  <si>
    <t>BOLETIM_RADIO_TJRN_07_01_2026_B8_INDENIZACAO_COMPRA_DE_BERCO</t>
  </si>
  <si>
    <t>https://docs.google.com/document/d/158G8qqGf4lo_q3BA9U29--VQirScDK7h1ZS1VCYhEqA/edit?usp=drivesdk</t>
  </si>
  <si>
    <t>B7 - EMPRESA DEVE ENTREGAR BRINDE</t>
  </si>
  <si>
    <t>BOLETIM_RADIO_TJRN_07_01_2026_B7_EMPRESA_DEVE_ENTREGAR_BRINDE</t>
  </si>
  <si>
    <t>https://docs.google.com/document/d/1xQQC1vNPcUDUjDTDNml6F6fFDVBZZjXunJU69QqFw8Q/edit?usp=drivesdk</t>
  </si>
  <si>
    <t>B6 - JÚRI COMERCIANTE</t>
  </si>
  <si>
    <t>BOLETIM_RADIO_TJRN_07_01_2026_B6_JURI_COMERCIANTE</t>
  </si>
  <si>
    <t>https://docs.google.com/document/d/1MNOpzz937bbxK7bALMCrH1RGx_2VMnShTtTmZJyAyzs/edit?usp=drivesdk</t>
  </si>
  <si>
    <t>B5 - VENDA CASADA ÓTICA</t>
  </si>
  <si>
    <t>BOLETIM_RADIO_TJRN_07_01_2026_B5_VENDA_CASADA_OTICA</t>
  </si>
  <si>
    <t>https://docs.google.com/document/d/1KhRc-JPUAmbIi2ll187vJLv0ktIhnEL1mDItRyZDO6o/edit?usp=drivesdk</t>
  </si>
  <si>
    <t>B4 - FALHA DE ENTREGA LOJA ONLINE</t>
  </si>
  <si>
    <t>BOLETIM_RADIO_TJRN_07_01_2026_B4_FALHA_DE_ENTREGA_LOJA_ONLINE</t>
  </si>
  <si>
    <t>https://docs.google.com/document/d/16FRMH9pvrn094VUr6YVuE0Svw8y2I_6yQrmHhGLVdRc/edit?usp=drivesdk</t>
  </si>
  <si>
    <t>B3 - JÚRI POPULAR GRUPO DE EXTERMINIO</t>
  </si>
  <si>
    <t>BOLETIM_RADIO_TJRN_07_01_2026_B3_JURI_POPULAR_GRUPO_DE_EXTERMINIO</t>
  </si>
  <si>
    <t>https://docs.google.com/document/d/1DNIq0wzeNWUwiAtF1A6y2apDmVYUyxp0F_HcP7KUI7Y/edit?usp=drivesdk</t>
  </si>
  <si>
    <t>B2 - INDENIZAÇÃO FALHA AIRBAGS</t>
  </si>
  <si>
    <t>BOLETIM_RADIO_TJRN_07_01_2026_B2_INDENIZACAO_FALHA_AIRBAGS</t>
  </si>
  <si>
    <t>https://docs.google.com/document/d/11LUW4nImLL2VCang5PJ7cLVCFWz-CjiKqUqJ_HbiNps/edit?usp=drivesdk</t>
  </si>
  <si>
    <t>B1 - SELEÇÃO CARTÓRIOS PAU DOS FERROS</t>
  </si>
  <si>
    <t>BOLETIM_RADIO_TJRN_07_01_2026_B1_SELECAO_CARTORIOS_PAU_DOS_FERROS</t>
  </si>
  <si>
    <t>https://docs.google.com/document/d/1QgBr4Vp_l_XfMotTBy4fTcxpy6l5GcfFCJFwPrlIcYY/edit?usp=drivesdk</t>
  </si>
  <si>
    <t>Última sincronização: 08/06/2026 14:13 • Sistema Rádio Web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</si>
</sst>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/ yyyy"/>
    <numFmt numFmtId="165" formatCode="mm/dd/yyyy"/>
    <numFmt numFmtId="166" formatCode="dd/mm/yyyy"/>
  </numFmts>
  <fonts count="2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9.0"/>
      <color rgb="FFFFFFFF"/>
      <name val="Arial"/>
      <scheme val="minor"/>
    </font>
    <font>
      <sz val="10.0"/>
      <color rgb="FF000000"/>
      <name val="Arial"/>
    </font>
    <font>
      <b/>
      <sz val="9.0"/>
      <color theme="1"/>
      <name val="Arial"/>
      <scheme val="minor"/>
    </font>
    <font>
      <b/>
      <sz val="8.0"/>
      <color rgb="FF777777"/>
      <name val="Arial"/>
      <scheme val="minor"/>
    </font>
    <font>
      <b/>
      <sz val="9.0"/>
      <color rgb="FF333333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sz val="8.0"/>
      <color rgb="FF777777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i/>
      <sz val="8.0"/>
      <color rgb="FF777777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3F3F3"/>
        <bgColor rgb="FFF3F3F3"/>
      </patternFill>
    </fill>
    <fill>
      <patternFill patternType="solid">
        <fgColor rgb="FFFFFDE7"/>
        <bgColor rgb="FFFFFDE7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EBEE"/>
        <bgColor rgb="FFFFEBEE"/>
      </patternFill>
    </fill>
    <fill>
      <patternFill patternType="solid">
        <fgColor rgb="FF444444"/>
        <bgColor rgb="FF444444"/>
      </patternFill>
    </fill>
    <fill>
      <patternFill patternType="solid">
        <fgColor rgb="FFE8F5E9"/>
        <bgColor rgb="FFE8F5E9"/>
      </patternFill>
    </fill>
    <fill>
      <patternFill patternType="solid">
        <fgColor rgb="FFF8F9FA"/>
        <bgColor rgb="FFF8F9FA"/>
      </patternFill>
    </fill>
    <fill>
      <patternFill patternType="solid">
        <fgColor rgb="FFF1F8E9"/>
        <bgColor rgb="FFF1F8E9"/>
      </patternFill>
    </fill>
    <fill>
      <patternFill patternType="solid">
        <fgColor rgb="FFFFF3E0"/>
        <bgColor rgb="FFFFF3E0"/>
      </patternFill>
    </fill>
    <fill>
      <patternFill patternType="solid">
        <fgColor rgb="FFE8EAF6"/>
        <bgColor rgb="FFE8EAF6"/>
      </patternFill>
    </fill>
    <fill>
      <patternFill patternType="solid">
        <fgColor rgb="FFEEEEEE"/>
        <bgColor rgb="FFEEEEEE"/>
      </patternFill>
    </fill>
    <fill>
      <patternFill patternType="solid">
        <fgColor rgb="FFF0F4F8"/>
        <bgColor rgb="FFF0F4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444444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7" fontId="4" numFmtId="0" xfId="0" applyAlignment="1" applyFill="1" applyFont="1">
      <alignment horizontal="center"/>
    </xf>
    <xf borderId="1" fillId="8" fontId="5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Border="1" applyFont="1" applyNumberFormat="1"/>
    <xf borderId="1" fillId="0" fontId="2" numFmtId="1" xfId="0" applyAlignment="1" applyBorder="1" applyFont="1" applyNumberFormat="1">
      <alignment readingOrder="0"/>
    </xf>
    <xf borderId="0" fillId="0" fontId="2" numFmtId="0" xfId="0" applyFont="1"/>
    <xf borderId="0" fillId="0" fontId="6" numFmtId="0" xfId="0" applyFont="1"/>
    <xf borderId="0" fillId="2" fontId="5" numFmtId="0" xfId="0" applyAlignment="1" applyFont="1">
      <alignment horizontal="center" vertical="center"/>
    </xf>
    <xf borderId="0" fillId="9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10" fontId="9" numFmtId="0" xfId="0" applyAlignment="1" applyFill="1" applyFont="1">
      <alignment horizontal="center" readingOrder="0"/>
    </xf>
    <xf borderId="0" fillId="11" fontId="10" numFmtId="1" xfId="0" applyAlignment="1" applyFill="1" applyFont="1" applyNumberFormat="1">
      <alignment horizontal="center" readingOrder="0"/>
    </xf>
    <xf borderId="0" fillId="4" fontId="10" numFmtId="1" xfId="0" applyAlignment="1" applyFont="1" applyNumberFormat="1">
      <alignment horizontal="center" readingOrder="0"/>
    </xf>
    <xf borderId="0" fillId="5" fontId="10" numFmtId="1" xfId="0" applyAlignment="1" applyFont="1" applyNumberFormat="1">
      <alignment horizontal="center"/>
    </xf>
    <xf borderId="0" fillId="6" fontId="10" numFmtId="1" xfId="0" applyAlignment="1" applyFont="1" applyNumberFormat="1">
      <alignment horizontal="center"/>
    </xf>
    <xf borderId="0" fillId="7" fontId="10" numFmtId="1" xfId="0" applyAlignment="1" applyFont="1" applyNumberFormat="1">
      <alignment horizontal="center"/>
    </xf>
    <xf borderId="0" fillId="12" fontId="10" numFmtId="1" xfId="0" applyAlignment="1" applyFill="1" applyFont="1" applyNumberFormat="1">
      <alignment horizontal="center"/>
    </xf>
    <xf borderId="0" fillId="13" fontId="10" numFmtId="1" xfId="0" applyAlignment="1" applyFill="1" applyFont="1" applyNumberFormat="1">
      <alignment horizontal="center"/>
    </xf>
    <xf borderId="0" fillId="0" fontId="2" numFmtId="1" xfId="0" applyFont="1" applyNumberFormat="1"/>
    <xf borderId="0" fillId="14" fontId="11" numFmtId="0" xfId="0" applyAlignment="1" applyFill="1" applyFont="1">
      <alignment readingOrder="0"/>
    </xf>
    <xf borderId="0" fillId="0" fontId="12" numFmtId="0" xfId="0" applyFont="1"/>
    <xf borderId="0" fillId="0" fontId="2" numFmtId="0" xfId="0" applyAlignment="1" applyFont="1">
      <alignment readingOrder="0"/>
    </xf>
    <xf borderId="0" fillId="15" fontId="2" numFmtId="0" xfId="0" applyAlignment="1" applyFill="1" applyFont="1">
      <alignment horizontal="center"/>
    </xf>
    <xf borderId="0" fillId="15" fontId="2" numFmtId="0" xfId="0" applyAlignment="1" applyFont="1">
      <alignment horizontal="center"/>
    </xf>
    <xf borderId="0" fillId="15" fontId="2" numFmtId="0" xfId="0" applyAlignment="1" applyFont="1">
      <alignment horizontal="left" readingOrder="0"/>
    </xf>
    <xf borderId="0" fillId="15" fontId="13" numFmtId="0" xfId="0" applyAlignment="1" applyFont="1">
      <alignment horizontal="center" readingOrder="0"/>
    </xf>
    <xf borderId="0" fillId="15" fontId="2" numFmtId="0" xfId="0" applyAlignment="1" applyFont="1">
      <alignment horizontal="center" readingOrder="0"/>
    </xf>
    <xf borderId="0" fillId="15" fontId="14" numFmtId="0" xfId="0" applyAlignment="1" applyFont="1">
      <alignment horizontal="center" readingOrder="0"/>
    </xf>
    <xf borderId="2" fillId="0" fontId="15" numFmtId="0" xfId="0" applyBorder="1" applyFont="1"/>
    <xf borderId="2" fillId="0" fontId="2" numFmtId="0" xfId="0" applyAlignment="1" applyBorder="1" applyFont="1">
      <alignment readingOrder="0"/>
    </xf>
    <xf borderId="2" fillId="15" fontId="2" numFmtId="0" xfId="0" applyAlignment="1" applyBorder="1" applyFont="1">
      <alignment horizontal="center"/>
    </xf>
    <xf borderId="2" fillId="15" fontId="2" numFmtId="0" xfId="0" applyAlignment="1" applyBorder="1" applyFont="1">
      <alignment horizontal="center"/>
    </xf>
    <xf borderId="2" fillId="15" fontId="2" numFmtId="0" xfId="0" applyAlignment="1" applyBorder="1" applyFont="1">
      <alignment horizontal="left" readingOrder="0"/>
    </xf>
    <xf borderId="2" fillId="15" fontId="16" numFmtId="0" xfId="0" applyAlignment="1" applyBorder="1" applyFont="1">
      <alignment horizontal="center" readingOrder="0"/>
    </xf>
    <xf borderId="2" fillId="15" fontId="2" numFmtId="0" xfId="0" applyAlignment="1" applyBorder="1" applyFont="1">
      <alignment horizontal="center" readingOrder="0"/>
    </xf>
    <xf borderId="0" fillId="15" fontId="2" numFmtId="165" xfId="0" applyAlignment="1" applyFont="1" applyNumberFormat="1">
      <alignment horizontal="center" readingOrder="0"/>
    </xf>
    <xf borderId="0" fillId="15" fontId="2" numFmtId="166" xfId="0" applyAlignment="1" applyFont="1" applyNumberFormat="1">
      <alignment horizontal="center" readingOrder="0"/>
    </xf>
    <xf borderId="0" fillId="15" fontId="2" numFmtId="0" xfId="0" applyAlignment="1" applyFont="1">
      <alignment horizontal="center" readingOrder="0"/>
    </xf>
    <xf borderId="2" fillId="15" fontId="2" numFmtId="166" xfId="0" applyAlignment="1" applyBorder="1" applyFont="1" applyNumberFormat="1">
      <alignment horizontal="center" readingOrder="0"/>
    </xf>
    <xf borderId="2" fillId="15" fontId="2" numFmtId="165" xfId="0" applyAlignment="1" applyBorder="1" applyFont="1" applyNumberFormat="1">
      <alignment horizontal="center" readingOrder="0"/>
    </xf>
    <xf borderId="2" fillId="0" fontId="17" numFmtId="0" xfId="0" applyBorder="1" applyFont="1"/>
    <xf borderId="0" fillId="0" fontId="18" numFmtId="0" xfId="0" applyFont="1"/>
    <xf borderId="0" fillId="15" fontId="2" numFmtId="0" xfId="0" applyAlignment="1" applyFont="1">
      <alignment horizontal="left"/>
    </xf>
    <xf borderId="0" fillId="15" fontId="2" numFmtId="0" xfId="0" applyAlignment="1" applyFont="1">
      <alignment horizontal="center"/>
    </xf>
    <xf borderId="0" fillId="0" fontId="19" numFmtId="0" xfId="0" applyAlignment="1" applyFont="1">
      <alignment readingOrder="0"/>
    </xf>
    <xf borderId="1" fillId="14" fontId="11" numFmtId="0" xfId="0" applyAlignment="1" applyBorder="1" applyFont="1">
      <alignment readingOrder="0"/>
    </xf>
    <xf borderId="0" fillId="0" fontId="20" numFmtId="0" xfId="0" applyFont="1"/>
    <xf borderId="0" fillId="15" fontId="20" numFmtId="0" xfId="0" applyAlignment="1" applyFont="1">
      <alignment horizontal="center"/>
    </xf>
    <xf borderId="0" fillId="15" fontId="20" numFmtId="0" xfId="0" applyAlignment="1" applyFont="1">
      <alignment horizontal="left"/>
    </xf>
    <xf borderId="0" fillId="15" fontId="20" numFmtId="166" xfId="0" applyAlignment="1" applyFont="1" applyNumberFormat="1">
      <alignment horizontal="center"/>
    </xf>
    <xf borderId="2" fillId="0" fontId="20" numFmtId="0" xfId="0" applyBorder="1" applyFont="1"/>
    <xf borderId="2" fillId="15" fontId="20" numFmtId="0" xfId="0" applyAlignment="1" applyBorder="1" applyFont="1">
      <alignment horizontal="center"/>
    </xf>
    <xf borderId="2" fillId="15" fontId="20" numFmtId="0" xfId="0" applyAlignment="1" applyBorder="1" applyFont="1">
      <alignment horizontal="left"/>
    </xf>
    <xf borderId="2" fillId="15" fontId="20" numFmtId="166" xfId="0" applyAlignment="1" applyBorder="1" applyFont="1" applyNumberFormat="1">
      <alignment horizontal="center"/>
    </xf>
    <xf borderId="2" fillId="15" fontId="21" numFmtId="0" xfId="0" applyAlignment="1" applyBorder="1" applyFont="1">
      <alignment horizontal="center"/>
    </xf>
    <xf borderId="0" fillId="15" fontId="22" numFmtId="0" xfId="0" applyAlignment="1" applyFont="1">
      <alignment horizontal="center"/>
    </xf>
    <xf borderId="0" fillId="0" fontId="23" numFmtId="0" xfId="0" applyFont="1"/>
    <xf borderId="1" fillId="14" fontId="11" numFmtId="0" xfId="0" applyAlignment="1" applyBorder="1" applyFont="1">
      <alignment horizontal="center" readingOrder="0"/>
    </xf>
    <xf borderId="3" fillId="14" fontId="11" numFmtId="0" xfId="0" applyBorder="1" applyFont="1"/>
    <xf borderId="0" fillId="0" fontId="20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NpdedQ1b73MpPHavce-sz3vl9NEndLNniq4kwq3W_c4/edit?usp=drivesdk" TargetMode="External"/><Relationship Id="rId42" Type="http://schemas.openxmlformats.org/officeDocument/2006/relationships/hyperlink" Target="https://docs.google.com/document/d/1E2WV62dab59o-px42O-NfHJKkV--3quViWRE5Ianews/edit?usp=drivesdk" TargetMode="External"/><Relationship Id="rId41" Type="http://schemas.openxmlformats.org/officeDocument/2006/relationships/hyperlink" Target="https://docs.google.com/document/d/1CtPEsCHj0_7fY6Aw4WVXgUQO28CnGnzIDK51nCTPXwQ/edit?usp=drivesdk" TargetMode="External"/><Relationship Id="rId44" Type="http://schemas.openxmlformats.org/officeDocument/2006/relationships/hyperlink" Target="https://docs.google.com/document/d/1FaIMLL57okEPKSrHKBrZsuYSYy3AzmYT95F_0mJANNg/edit?usp=drivesdk" TargetMode="External"/><Relationship Id="rId43" Type="http://schemas.openxmlformats.org/officeDocument/2006/relationships/hyperlink" Target="https://docs.google.com/document/d/1GWQgh9jfe9pJAnMynGNnt88p66JBg6kFG2a8hmUarD8/edit?usp=drivesdk" TargetMode="External"/><Relationship Id="rId46" Type="http://schemas.openxmlformats.org/officeDocument/2006/relationships/hyperlink" Target="https://docs.google.com/document/d/1p3PtyAsssJaQWB63-wvBuZE6ju7BIm36fIgqYQ3NQ-Y/edit?usp=drivesdk" TargetMode="External"/><Relationship Id="rId45" Type="http://schemas.openxmlformats.org/officeDocument/2006/relationships/hyperlink" Target="https://docs.google.com/document/d/1XTeCamvaQAITXDZ9rSZOyQiIFyzoKfWkW0JcUwXMvkM/edit?usp=drivesdk" TargetMode="External"/><Relationship Id="rId107" Type="http://schemas.openxmlformats.org/officeDocument/2006/relationships/hyperlink" Target="https://docs.google.com/document/d/1NyijpTrru__RKjOZB5bStGMIpYZselA69R1esRJwdZ8/edit?usp=drivesdk" TargetMode="External"/><Relationship Id="rId106" Type="http://schemas.openxmlformats.org/officeDocument/2006/relationships/hyperlink" Target="https://docs.google.com/document/d/1PpguQ0I5WNtV8Ks-cjoD7kU5myjX5OonzlrsN5G0xv0/edit?usp=drivesdk" TargetMode="External"/><Relationship Id="rId105" Type="http://schemas.openxmlformats.org/officeDocument/2006/relationships/hyperlink" Target="https://docs.google.com/document/d/1BRzt9IHDIJIX51SS-n3SBX243DtTeaB7I5NS3DRVR0I/edit?usp=drivesdk" TargetMode="External"/><Relationship Id="rId104" Type="http://schemas.openxmlformats.org/officeDocument/2006/relationships/hyperlink" Target="https://docs.google.com/document/d/1lGHyzC3kE0lAt-pQ41zcyuJdhAstOfdR_XJ4lH9PpbU/edit?usp=drivesdk" TargetMode="External"/><Relationship Id="rId109" Type="http://schemas.openxmlformats.org/officeDocument/2006/relationships/hyperlink" Target="https://docs.google.com/document/d/1KcU085ulcSShKkRkZ6ycBvEHnunK8ADoPnZBRqDXrCY/edit?usp=drivesdk" TargetMode="External"/><Relationship Id="rId108" Type="http://schemas.openxmlformats.org/officeDocument/2006/relationships/hyperlink" Target="https://docs.google.com/document/d/11vm_mxsasOPm3iB_N29uISuHt6yG8FRQTLCdK0XUJ3c/edit?usp=drivesdk" TargetMode="External"/><Relationship Id="rId48" Type="http://schemas.openxmlformats.org/officeDocument/2006/relationships/hyperlink" Target="https://docs.google.com/document/d/1LSN6_NYnv_ZoLOLO0_01cNldMK5WbRm12W53PT2ne_k/edit?usp=drivesdk" TargetMode="External"/><Relationship Id="rId47" Type="http://schemas.openxmlformats.org/officeDocument/2006/relationships/hyperlink" Target="https://docs.google.com/document/d/1VdxmY6WhVzs-3XzdOhiLuWfYasSaJGJFxaWs0Zw-6ac/edit?usp=drivesdk" TargetMode="External"/><Relationship Id="rId49" Type="http://schemas.openxmlformats.org/officeDocument/2006/relationships/hyperlink" Target="https://docs.google.com/document/d/1-twpewrqfADeoVzLNfR7YAXB1-m6IN5YdytWxaqmmqQ/edit?usp=drivesdk" TargetMode="External"/><Relationship Id="rId103" Type="http://schemas.openxmlformats.org/officeDocument/2006/relationships/hyperlink" Target="https://docs.google.com/document/d/1hDl1gAQfGCHkq44vLJsix2Je8CBv2KJE6Sytu2Kw5Y8/edit?usp=drivesdk" TargetMode="External"/><Relationship Id="rId102" Type="http://schemas.openxmlformats.org/officeDocument/2006/relationships/hyperlink" Target="https://docs.google.com/document/d/1gJbicV3GRLn5_o7Xh-jonsG3hOtgl1ccgfN8kzdrHo8/edit?usp=drivesdk" TargetMode="External"/><Relationship Id="rId101" Type="http://schemas.openxmlformats.org/officeDocument/2006/relationships/hyperlink" Target="https://docs.google.com/document/d/1fZcu7Y9ppPquMRd4uMEuEEJpGXoTsUF_oB-IbIYTKTU/edit?usp=drivesdk" TargetMode="External"/><Relationship Id="rId100" Type="http://schemas.openxmlformats.org/officeDocument/2006/relationships/hyperlink" Target="https://docs.google.com/document/d/1sSbBLroc9ddNS8XLfBnMmbPeuUAj-a8NoIHJV3YJuvw/edit?usp=drivesdk" TargetMode="External"/><Relationship Id="rId31" Type="http://schemas.openxmlformats.org/officeDocument/2006/relationships/hyperlink" Target="https://docs.google.com/document/d/1wpJ6Oi6xkIfVDfJdYSKDLJUEMCer0hw-t9tpTweePiA/edit?usp=drivesdk" TargetMode="External"/><Relationship Id="rId30" Type="http://schemas.openxmlformats.org/officeDocument/2006/relationships/hyperlink" Target="https://docs.google.com/document/d/15bzvgxA4Owf8HeYgZnDCDkTdl_QPAMunWnXhIEEYQis/edit?usp=drivesdk" TargetMode="External"/><Relationship Id="rId33" Type="http://schemas.openxmlformats.org/officeDocument/2006/relationships/hyperlink" Target="https://docs.google.com/document/d/1VYa65-gMKIs-uNJ3-h-EeM4WDHVaMgYbnMN0ozgbwFQ/edit?usp=drivesdk" TargetMode="External"/><Relationship Id="rId32" Type="http://schemas.openxmlformats.org/officeDocument/2006/relationships/hyperlink" Target="https://docs.google.com/document/d/1NCbp75Z7GWUnjcrmpDjADXBpGMni4uHb3vaGb9S7_os/edit?usp=drivesdk" TargetMode="External"/><Relationship Id="rId35" Type="http://schemas.openxmlformats.org/officeDocument/2006/relationships/hyperlink" Target="https://docs.google.com/document/d/1Jfo-r2mNZlkgyHpc6lZlzFcCoTqavAbYn9hN61C_eas/edit?usp=drivesdk" TargetMode="External"/><Relationship Id="rId34" Type="http://schemas.openxmlformats.org/officeDocument/2006/relationships/hyperlink" Target="https://docs.google.com/document/d/1MF5sW11gl-Pqa2nGuALZ_EYOaDSNn8VQqad_pr3xdhw/edit?usp=drivesdk" TargetMode="External"/><Relationship Id="rId37" Type="http://schemas.openxmlformats.org/officeDocument/2006/relationships/hyperlink" Target="https://docs.google.com/document/d/1ZTdJFQf9trX_2jNPcUj_pMtTQWRfbstudFVpTG-e-l8/edit?usp=drivesdk" TargetMode="External"/><Relationship Id="rId36" Type="http://schemas.openxmlformats.org/officeDocument/2006/relationships/hyperlink" Target="https://docs.google.com/document/d/1Ax-gIcmScB8JkDLI63oSp_dGj_jr2ckn4LRApkz7iYw/edit?usp=drivesdk" TargetMode="External"/><Relationship Id="rId39" Type="http://schemas.openxmlformats.org/officeDocument/2006/relationships/hyperlink" Target="https://docs.google.com/document/d/1T61ulSR5BvHLp5pK8BdKMnr3MgSp4K1akZ4sC0a0udg/edit?usp=drivesdk" TargetMode="External"/><Relationship Id="rId38" Type="http://schemas.openxmlformats.org/officeDocument/2006/relationships/hyperlink" Target="https://docs.google.com/document/d/1174YH0KkwJHUMDYiYIvVPMFzjv_BHjZu-l5R99sOem0/edit?usp=drivesdk" TargetMode="External"/><Relationship Id="rId20" Type="http://schemas.openxmlformats.org/officeDocument/2006/relationships/hyperlink" Target="https://docs.google.com/document/d/1Lvi20kyi0Z_R0h_PHPPzSHoTtBm6J6IeRqqggrPyN84/edit?usp=drivesdk" TargetMode="External"/><Relationship Id="rId22" Type="http://schemas.openxmlformats.org/officeDocument/2006/relationships/hyperlink" Target="https://docs.google.com/document/d/1w67yVbbUSfC7pO8cBKUvSBurg9q3b9Vpzs8GXK1ZPJs/edit?usp=drivesdk" TargetMode="External"/><Relationship Id="rId21" Type="http://schemas.openxmlformats.org/officeDocument/2006/relationships/hyperlink" Target="https://docs.google.com/document/d/1Gn8XWqlgTIfgoGKNW5PZpWxP_kT9D-RTWEwb_wKuYZk/edit?usp=drivesdk" TargetMode="External"/><Relationship Id="rId24" Type="http://schemas.openxmlformats.org/officeDocument/2006/relationships/hyperlink" Target="https://docs.google.com/document/d/1Avg0skOna6gDDJQaKb2PEWYRIhTDMZESdQMJKmhZsIs/edit?usp=drivesdk" TargetMode="External"/><Relationship Id="rId23" Type="http://schemas.openxmlformats.org/officeDocument/2006/relationships/hyperlink" Target="https://docs.google.com/document/d/1qmoUC0umIzKZ_mLa_g_C33Io5ILD2iZGpZVjj6q7fQI/edit?usp=drivesdk" TargetMode="External"/><Relationship Id="rId26" Type="http://schemas.openxmlformats.org/officeDocument/2006/relationships/hyperlink" Target="https://docs.google.com/document/d/14KqSPdMNOPibkbpO1w3McXzxy7JuxdZ3RC5Ph7lE7sc/edit?usp=drivesdk" TargetMode="External"/><Relationship Id="rId121" Type="http://schemas.openxmlformats.org/officeDocument/2006/relationships/hyperlink" Target="https://docs.google.com/document/d/1Lz3xlrDEW5o1EXjkkxwqkkSdEYlaXGV6neVrQNwEDoA/edit?usp=drivesdk" TargetMode="External"/><Relationship Id="rId25" Type="http://schemas.openxmlformats.org/officeDocument/2006/relationships/hyperlink" Target="https://docs.google.com/document/d/14nhsKkzzOxIsjeh7VnW7yPakEM6mBAh9W7iwWlDvzv8/edit?usp=drivesdk" TargetMode="External"/><Relationship Id="rId120" Type="http://schemas.openxmlformats.org/officeDocument/2006/relationships/hyperlink" Target="https://docs.google.com/document/d/1eyO3kKeGHKj3dTbT7wJX8OzQe0xkzzBwatdvXdlYUuw/edit?usp=drivesdk" TargetMode="External"/><Relationship Id="rId28" Type="http://schemas.openxmlformats.org/officeDocument/2006/relationships/hyperlink" Target="https://docs.google.com/document/d/1i93qzixqy8AlmlcHf0403zXOzz1KPpojOBklygdZG9M/edit?usp=drivesdk" TargetMode="External"/><Relationship Id="rId27" Type="http://schemas.openxmlformats.org/officeDocument/2006/relationships/hyperlink" Target="https://docs.google.com/document/d/1eU6ZfuAR2LO5dMNppTxTZsM5xCeU2C9BVDxLQ8RieDg/edit?usp=drivesdk" TargetMode="External"/><Relationship Id="rId29" Type="http://schemas.openxmlformats.org/officeDocument/2006/relationships/hyperlink" Target="https://docs.google.com/document/d/1LQBEmyK0xlNIohDHqsBZNGE_BEbZ3LFJ9PQBf_966Eo/edit?usp=drivesdk" TargetMode="External"/><Relationship Id="rId124" Type="http://schemas.openxmlformats.org/officeDocument/2006/relationships/drawing" Target="../drawings/drawing2.xml"/><Relationship Id="rId123" Type="http://schemas.openxmlformats.org/officeDocument/2006/relationships/hyperlink" Target="https://docs.google.com/document/d/1DuU-E8X1pZkIEXTCxjvYFLz9ZpKQrVG3o7WPGu0OBKc/edit?usp=drivesdk" TargetMode="External"/><Relationship Id="rId122" Type="http://schemas.openxmlformats.org/officeDocument/2006/relationships/hyperlink" Target="https://docs.google.com/document/d/1wMcwt0ousX3Jmq31x0LRPl-hirX8JpjJExd2FPfc608/edit?usp=drivesdk" TargetMode="External"/><Relationship Id="rId95" Type="http://schemas.openxmlformats.org/officeDocument/2006/relationships/hyperlink" Target="https://docs.google.com/document/d/1r_DWGXWVt_2RK33LEKmO09GFLZLhKqrM8eHGJoefnE4/edit?usp=drivesdk" TargetMode="External"/><Relationship Id="rId94" Type="http://schemas.openxmlformats.org/officeDocument/2006/relationships/hyperlink" Target="https://docs.google.com/document/d/1HEX_TuNVWnImdvK8JynmktQoHrpt3CTby0tMIVOCSuI/edit?usp=drivesdk" TargetMode="External"/><Relationship Id="rId97" Type="http://schemas.openxmlformats.org/officeDocument/2006/relationships/hyperlink" Target="https://docs.google.com/document/d/1wdMq49GfeTRVFQzwIeZYVfWr724DGBcjexDnFvFx58U/edit?usp=drivesdk" TargetMode="External"/><Relationship Id="rId96" Type="http://schemas.openxmlformats.org/officeDocument/2006/relationships/hyperlink" Target="https://docs.google.com/document/d/1i-8iS-hqV9Qn4j3aVSnhZzcbazD3tyxQFfV3d-r1eYk/edit?usp=drivesdk" TargetMode="External"/><Relationship Id="rId11" Type="http://schemas.openxmlformats.org/officeDocument/2006/relationships/hyperlink" Target="https://docs.google.com/document/d/1tjXM_cHJPPZPUzLy3toYsPM1QyRT3YU-51k8wzj8gNo/edit?usp=drivesdk" TargetMode="External"/><Relationship Id="rId99" Type="http://schemas.openxmlformats.org/officeDocument/2006/relationships/hyperlink" Target="https://docs.google.com/document/d/1Tz39miI4_12PM9E6yvoFw9aGeNyeTZl0_AmgIDMHG9s/edit?usp=drivesdk" TargetMode="External"/><Relationship Id="rId10" Type="http://schemas.openxmlformats.org/officeDocument/2006/relationships/hyperlink" Target="https://docs.google.com/document/d/1kFDX8HKfMUg3ZZjjffiaQXmUHS01kzNWcwUvnH2FMus/edit?usp=drivesdk" TargetMode="External"/><Relationship Id="rId98" Type="http://schemas.openxmlformats.org/officeDocument/2006/relationships/hyperlink" Target="https://docs.google.com/document/d/11pxOXdYrfTASV-FkckMWus4_JlSQ1jnamhl1qDjX5GM/edit?usp=drivesdk" TargetMode="External"/><Relationship Id="rId13" Type="http://schemas.openxmlformats.org/officeDocument/2006/relationships/hyperlink" Target="https://docs.google.com/document/d/1bD9DaljH8eXulDCngW3UG95cQpCIXFip3JfikzTnFuQ/edit?usp=drivesdk" TargetMode="External"/><Relationship Id="rId12" Type="http://schemas.openxmlformats.org/officeDocument/2006/relationships/hyperlink" Target="https://docs.google.com/document/d/1dm5hzGDACssLafrMSVcu_YS78vz4S7TSWn-3l37xZtw/edit?usp=drivesdk" TargetMode="External"/><Relationship Id="rId91" Type="http://schemas.openxmlformats.org/officeDocument/2006/relationships/hyperlink" Target="https://docs.google.com/document/d/17I5GoQEqsKI8AV4ysUZ6iO9gmPfc2cHmSvRmQt0NeG0/edit?usp=drivesdk" TargetMode="External"/><Relationship Id="rId90" Type="http://schemas.openxmlformats.org/officeDocument/2006/relationships/hyperlink" Target="https://docs.google.com/document/d/1NbA4nLf-zBhPOumFcpWBU9AbTSjXBsxEvho9dPQTqpY/edit?usp=drivesdk" TargetMode="External"/><Relationship Id="rId93" Type="http://schemas.openxmlformats.org/officeDocument/2006/relationships/hyperlink" Target="https://docs.google.com/document/d/1tQ5SyTJjhDjjTMNooGdQoKzRODbV7jM7FVF4H6rOkUg/edit?usp=drivesdk" TargetMode="External"/><Relationship Id="rId92" Type="http://schemas.openxmlformats.org/officeDocument/2006/relationships/hyperlink" Target="https://docs.google.com/document/d/1L4p5x1XZoVu4Oz_RWHHr60ZrBckwojfiJ6EUb-6Vf2Y/edit?usp=drivesdk" TargetMode="External"/><Relationship Id="rId118" Type="http://schemas.openxmlformats.org/officeDocument/2006/relationships/hyperlink" Target="https://docs.google.com/document/d/1jXlsr-TrEjxT5MWUWkclgmdFoq09BXcspLsht-tIhe8/edit?usp=drivesdk" TargetMode="External"/><Relationship Id="rId117" Type="http://schemas.openxmlformats.org/officeDocument/2006/relationships/hyperlink" Target="https://docs.google.com/document/d/1bxeObQAyExXdiH1HkC_0RIVHW-8JT5-0bTRRrpcDKLU/edit?usp=drivesdk" TargetMode="External"/><Relationship Id="rId116" Type="http://schemas.openxmlformats.org/officeDocument/2006/relationships/hyperlink" Target="https://docs.google.com/document/d/1tAM11mgxTqEIm6Ij7sNtTBUpM4ahS8K64wpAliFes7E/edit?usp=drivesdk" TargetMode="External"/><Relationship Id="rId115" Type="http://schemas.openxmlformats.org/officeDocument/2006/relationships/hyperlink" Target="https://docs.google.com/document/d/1j6JzsP7VC5R6nwnGHJchb5qiMymUt1FMl6FZxLC93QQ/edit?usp=drivesdk" TargetMode="External"/><Relationship Id="rId119" Type="http://schemas.openxmlformats.org/officeDocument/2006/relationships/hyperlink" Target="https://docs.google.com/document/d/1weJso0l0OqJDzqgnIO_tmV6N5EBSlZheZZCKKjNJXEw/edit?usp=drivesdk" TargetMode="External"/><Relationship Id="rId15" Type="http://schemas.openxmlformats.org/officeDocument/2006/relationships/hyperlink" Target="https://docs.google.com/document/d/1Xi-v4z4vulrckziZX431qT1ArznNetBJt7IgiZ0vfs8/edit?usp=drivesdk" TargetMode="External"/><Relationship Id="rId110" Type="http://schemas.openxmlformats.org/officeDocument/2006/relationships/hyperlink" Target="https://docs.google.com/document/d/17XBa6oA75q2y_GQfgiK8AtEwYVCCo3fv6flotv4C51o/edit?usp=drivesdk" TargetMode="External"/><Relationship Id="rId14" Type="http://schemas.openxmlformats.org/officeDocument/2006/relationships/hyperlink" Target="https://docs.google.com/document/d/1D7Zk5XIZFNrix0Ewq7rIqY5bBIFv0MtAGBD_7B9Hal0/edit?usp=drivesdk" TargetMode="External"/><Relationship Id="rId17" Type="http://schemas.openxmlformats.org/officeDocument/2006/relationships/hyperlink" Target="https://docs.google.com/document/d/1KsKHbMK_NoUlmvyjpfaCe5NVEZkj--EpuaAOfxYvQu8/edit?usp=drivesdk" TargetMode="External"/><Relationship Id="rId16" Type="http://schemas.openxmlformats.org/officeDocument/2006/relationships/hyperlink" Target="https://docs.google.com/document/d/1RjsFeGKCOjAKvRyivwcyDov4NCvH-0IAE52USBfJaAM/edit?usp=drivesdk" TargetMode="External"/><Relationship Id="rId19" Type="http://schemas.openxmlformats.org/officeDocument/2006/relationships/hyperlink" Target="https://docs.google.com/document/d/1q_ZggSqHFT56t6xGu9sFDRnZl_-73Jb-pt4qwLF_9ns/edit?usp=drivesdk" TargetMode="External"/><Relationship Id="rId114" Type="http://schemas.openxmlformats.org/officeDocument/2006/relationships/hyperlink" Target="https://docs.google.com/document/d/15aMyyco58yy_6I4qdLazRs9qfPEkfC3uIwbTmgEVkvQ/edit?usp=drivesdk" TargetMode="External"/><Relationship Id="rId18" Type="http://schemas.openxmlformats.org/officeDocument/2006/relationships/hyperlink" Target="https://docs.google.com/document/d/1X4puXffR8_9yNS3jpU3lm7uI1uWiWHPIwJ2YLq2wHkw/edit?usp=drivesdk" TargetMode="External"/><Relationship Id="rId113" Type="http://schemas.openxmlformats.org/officeDocument/2006/relationships/hyperlink" Target="https://docs.google.com/document/d/1866-NPN9GUhLqjEvW6Ov8n8WNzUFN73E8ozSHPvBL34/edit?usp=drivesdk" TargetMode="External"/><Relationship Id="rId112" Type="http://schemas.openxmlformats.org/officeDocument/2006/relationships/hyperlink" Target="https://docs.google.com/document/d/19pXNoZaBxRMcdBpwYvwQ2dCCB_NXoXCiEy0MMr3HmO0/edit?usp=drivesdk" TargetMode="External"/><Relationship Id="rId111" Type="http://schemas.openxmlformats.org/officeDocument/2006/relationships/hyperlink" Target="https://docs.google.com/document/d/1xV7XPk5Rzw_WTWN66T51Hrv9PaeOfjMyTrP2Vz4grTs/edit?usp=drivesdk" TargetMode="External"/><Relationship Id="rId84" Type="http://schemas.openxmlformats.org/officeDocument/2006/relationships/hyperlink" Target="https://docs.google.com/document/d/1zhEpJ0CqJXobzSdFlv1jPWQHfvge5agyLxTD09jF3Fc/edit?usp=drivesdk" TargetMode="External"/><Relationship Id="rId83" Type="http://schemas.openxmlformats.org/officeDocument/2006/relationships/hyperlink" Target="https://docs.google.com/document/d/13QI0jtwmssw6kt3WRDQ0o7pNkXNkPTRpuA4ziQ0cNbE/edit?usp=drivesdk" TargetMode="External"/><Relationship Id="rId86" Type="http://schemas.openxmlformats.org/officeDocument/2006/relationships/hyperlink" Target="https://docs.google.com/document/d/1mbatuLnKRl5Q0Q3y-gZ--k9dj38pjGxr7TL0l7aSPT4/edit?usp=drivesdk" TargetMode="External"/><Relationship Id="rId85" Type="http://schemas.openxmlformats.org/officeDocument/2006/relationships/hyperlink" Target="https://docs.google.com/document/d/1uShY2oDeueQoLaqEq7zFohPuLkRz35jZVWs37qu36dA/edit?usp=drivesdk" TargetMode="External"/><Relationship Id="rId88" Type="http://schemas.openxmlformats.org/officeDocument/2006/relationships/hyperlink" Target="https://docs.google.com/document/d/1ej-MY81ErHVzKscqnufqN7K8uMCts2YVPu2WPaJistc/edit?usp=drivesdk" TargetMode="External"/><Relationship Id="rId87" Type="http://schemas.openxmlformats.org/officeDocument/2006/relationships/hyperlink" Target="https://docs.google.com/document/d/1SrJFnCPUvrIryUe4tzO8Sisy_OIr1V_FOYWkJF1YkcU/edit?usp=drivesdk" TargetMode="External"/><Relationship Id="rId89" Type="http://schemas.openxmlformats.org/officeDocument/2006/relationships/hyperlink" Target="https://docs.google.com/document/d/1d4eHTmI4IoNWIPBp05lwVWzXC14FLE9ee_-Nzk8p828/edit?usp=drivesdk" TargetMode="External"/><Relationship Id="rId80" Type="http://schemas.openxmlformats.org/officeDocument/2006/relationships/hyperlink" Target="https://docs.google.com/document/d/1aE6iNUKj8l8dqA3mOriksDziGW-mHnBaoPDNi5kDrX8/edit?usp=drivesdk" TargetMode="External"/><Relationship Id="rId82" Type="http://schemas.openxmlformats.org/officeDocument/2006/relationships/hyperlink" Target="https://docs.google.com/document/d/1B92JlA2_Xv2OWLwdoYmDrwEFJIwU2qutmoBMai5DqfY/edit?usp=drivesdk" TargetMode="External"/><Relationship Id="rId81" Type="http://schemas.openxmlformats.org/officeDocument/2006/relationships/hyperlink" Target="https://docs.google.com/document/d/1vCg8aJA_PdefcI94CwSlvPRcGLmFCimpxwtiKsZqlz8/edit?usp=drivesdk" TargetMode="External"/><Relationship Id="rId1" Type="http://schemas.openxmlformats.org/officeDocument/2006/relationships/hyperlink" Target="https://docs.google.com/document/d/1uRNf2OLh649ubKWxzQhGPuGIcAB4Ib7RsOq769NiRYg/edit?usp=drivesdk" TargetMode="External"/><Relationship Id="rId2" Type="http://schemas.openxmlformats.org/officeDocument/2006/relationships/hyperlink" Target="https://docs.google.com/document/d/1w-KsOGZrAN2iJAZs9Q1Lg8uXw8oVubsi_O6MdnrOb-o/edit?usp=drivesdk" TargetMode="External"/><Relationship Id="rId3" Type="http://schemas.openxmlformats.org/officeDocument/2006/relationships/hyperlink" Target="https://docs.google.com/document/d/13paehEdDUaJ5aVRPJZaTQvPcg157RoTcXcipxfsjUZg/edit?usp=drivesdk" TargetMode="External"/><Relationship Id="rId4" Type="http://schemas.openxmlformats.org/officeDocument/2006/relationships/hyperlink" Target="https://docs.google.com/document/d/1wjz0IGR42u_vRUsEgQjgj1DdQFLKArfMe6Wr7-_8oXk/edit?usp=drivesdk" TargetMode="External"/><Relationship Id="rId9" Type="http://schemas.openxmlformats.org/officeDocument/2006/relationships/hyperlink" Target="https://docs.google.com/document/d/11XBT6AEVfRz6GHOOf9qb7ZpR0dTB7hhhk_c_vhcz7nQ/edit?usp=drivesdk" TargetMode="External"/><Relationship Id="rId5" Type="http://schemas.openxmlformats.org/officeDocument/2006/relationships/hyperlink" Target="https://docs.google.com/document/d/1WmDLkKLp9ch_4iAUyDIPJSX5AoUDrtu08vIBdXxmA08/edit?usp=drivesdk" TargetMode="External"/><Relationship Id="rId6" Type="http://schemas.openxmlformats.org/officeDocument/2006/relationships/hyperlink" Target="https://docs.google.com/document/d/1G5jEeywdu7p3HuqGmqI65aypxDdwDGdaqZLNSBwOjO8/edit?usp=drivesdk" TargetMode="External"/><Relationship Id="rId7" Type="http://schemas.openxmlformats.org/officeDocument/2006/relationships/hyperlink" Target="https://docs.google.com/document/d/1dwSZzVL__KpWuulpovO1JkHV0MVxu0Zy73EWdjxMzYw/edit?usp=drivesdk" TargetMode="External"/><Relationship Id="rId8" Type="http://schemas.openxmlformats.org/officeDocument/2006/relationships/hyperlink" Target="https://docs.google.com/document/d/18baLr1xSpQiusGJlSETexhyT-OEtTQj1FdEF9GJshUI/edit?usp=drivesdk" TargetMode="External"/><Relationship Id="rId73" Type="http://schemas.openxmlformats.org/officeDocument/2006/relationships/hyperlink" Target="https://docs.google.com/document/d/1fTmUMTKNtvMSVsSieMItxi-HYgBRz_ymWaJh_Gf36Sk/edit?usp=drivesdk" TargetMode="External"/><Relationship Id="rId72" Type="http://schemas.openxmlformats.org/officeDocument/2006/relationships/hyperlink" Target="https://docs.google.com/document/d/1Zwv3AwreXKdL1WIq25Gr0_xCjExfeK-Z4OQEKbi3VZk/edit?usp=drivesdk" TargetMode="External"/><Relationship Id="rId75" Type="http://schemas.openxmlformats.org/officeDocument/2006/relationships/hyperlink" Target="https://docs.google.com/document/d/1q8eFQH3x39H3ahR4Xo38qyMfzPNkwB1001rNJteYaRc/edit?usp=drivesdk" TargetMode="External"/><Relationship Id="rId74" Type="http://schemas.openxmlformats.org/officeDocument/2006/relationships/hyperlink" Target="https://docs.google.com/document/d/11hiTBuT-cQDKQezbmb_Lz9mcZl75S-rd1tJq0UZ2WHE/edit?usp=drivesdk" TargetMode="External"/><Relationship Id="rId77" Type="http://schemas.openxmlformats.org/officeDocument/2006/relationships/hyperlink" Target="https://docs.google.com/document/d/1Jz_DJo-La97Xjp7HIV4vodsEqFSKQVZrYx71kuCRPHw/edit?usp=drivesdk" TargetMode="External"/><Relationship Id="rId76" Type="http://schemas.openxmlformats.org/officeDocument/2006/relationships/hyperlink" Target="https://docs.google.com/document/d/1cQpjVZEGhCKQDzkxb-9AmXEt6gb8TMKo0laFV5Cv_44/edit?usp=drivesdk" TargetMode="External"/><Relationship Id="rId79" Type="http://schemas.openxmlformats.org/officeDocument/2006/relationships/hyperlink" Target="https://docs.google.com/document/d/1-B5BdeSrcdofz6R1RWuieNDz5ZXygQbnM2q8AuZQn7M/edit?usp=drivesdk" TargetMode="External"/><Relationship Id="rId78" Type="http://schemas.openxmlformats.org/officeDocument/2006/relationships/hyperlink" Target="https://docs.google.com/document/d/1Dq8Epaoz7oDcT-GzPHpjOupJMypKH6S9uio7HEw2FPE/edit?usp=drivesdk" TargetMode="External"/><Relationship Id="rId71" Type="http://schemas.openxmlformats.org/officeDocument/2006/relationships/hyperlink" Target="https://docs.google.com/document/d/1QDQsvzIYKtDY_1uJViIZX-tjUgC2k2ejBG9Gxu5kvmo/edit?usp=drivesdk" TargetMode="External"/><Relationship Id="rId70" Type="http://schemas.openxmlformats.org/officeDocument/2006/relationships/hyperlink" Target="https://docs.google.com/document/d/1JAXYPzTit79zZeUbr5uq6x6L0VUCU0Zbthiyw5CRsJ4/edit?usp=drivesdk" TargetMode="External"/><Relationship Id="rId62" Type="http://schemas.openxmlformats.org/officeDocument/2006/relationships/hyperlink" Target="https://docs.google.com/document/d/16fZ2PUpDk5yfxoKKR47DVyW6R2siX3NLXFgAc9v8IDM/edit?usp=drivesdk" TargetMode="External"/><Relationship Id="rId61" Type="http://schemas.openxmlformats.org/officeDocument/2006/relationships/hyperlink" Target="https://docs.google.com/document/d/1BMO2PV9r0rLv-acma5eHQ_1aOt7niAywfjOLboqVS1I/edit?usp=drivesdk" TargetMode="External"/><Relationship Id="rId64" Type="http://schemas.openxmlformats.org/officeDocument/2006/relationships/hyperlink" Target="https://docs.google.com/document/d/1lLa59Ny9PWLYJoY4FtbanS5iwCQEzWoJabUz9F1HMsA/edit?usp=drivesdk" TargetMode="External"/><Relationship Id="rId63" Type="http://schemas.openxmlformats.org/officeDocument/2006/relationships/hyperlink" Target="https://docs.google.com/document/d/1BGtTMp0QuwKtNdXo37IjD8RIPfgzp81w5MmZ6dmBNLY/edit?usp=drivesdk" TargetMode="External"/><Relationship Id="rId66" Type="http://schemas.openxmlformats.org/officeDocument/2006/relationships/hyperlink" Target="https://docs.google.com/document/d/1IwF2h218Fujz8dxGSUwp_uG27yYCggnTIu21y84wIns/edit?usp=drivesdk" TargetMode="External"/><Relationship Id="rId65" Type="http://schemas.openxmlformats.org/officeDocument/2006/relationships/hyperlink" Target="https://docs.google.com/document/d/1OynKStm6Qzmc7YQ49bLB33oO3Pi8XT_pN9HVBpSY1gw/edit?usp=drivesdk" TargetMode="External"/><Relationship Id="rId68" Type="http://schemas.openxmlformats.org/officeDocument/2006/relationships/hyperlink" Target="https://docs.google.com/document/d/1YNu-r_ldke0bj2bQIoWnrYuV3bwpMwK9W9Lzjt-Atog/edit?usp=drivesdk" TargetMode="External"/><Relationship Id="rId67" Type="http://schemas.openxmlformats.org/officeDocument/2006/relationships/hyperlink" Target="https://docs.google.com/document/d/1NrDl4MTr6nkS-sBJBQyvak8z1orWrzt_PEJbAmBeIes/edit?usp=drivesdk" TargetMode="External"/><Relationship Id="rId60" Type="http://schemas.openxmlformats.org/officeDocument/2006/relationships/hyperlink" Target="https://docs.google.com/document/d/1bprRrWRd7B0eh6emKzsOUxW5XXdI8lJjYmrkMBFsr18/edit?usp=drivesdk" TargetMode="External"/><Relationship Id="rId69" Type="http://schemas.openxmlformats.org/officeDocument/2006/relationships/hyperlink" Target="https://docs.google.com/document/d/1icgUGpG8SdlkB8kA31-ZfSpObQ-3wwZ52FiAsMhy1wU/edit?usp=drivesdk" TargetMode="External"/><Relationship Id="rId51" Type="http://schemas.openxmlformats.org/officeDocument/2006/relationships/hyperlink" Target="https://docs.google.com/document/d/15ho3J6SAlJUyRLVm6wROJyJtHLtD-GYzHuAdzf5kdAA/edit?usp=drivesdk" TargetMode="External"/><Relationship Id="rId50" Type="http://schemas.openxmlformats.org/officeDocument/2006/relationships/hyperlink" Target="https://docs.google.com/document/d/1zoo6V1TZhAm0xeTsxh2efvbf3S0J_wu9SwlFgro5iM8/edit?usp=drivesdk" TargetMode="External"/><Relationship Id="rId53" Type="http://schemas.openxmlformats.org/officeDocument/2006/relationships/hyperlink" Target="https://docs.google.com/document/d/1Tvo2phHZSq3wjevqyD2tS7fqUR4eCN86ay5UYGRjIQk/edit?usp=drivesdk" TargetMode="External"/><Relationship Id="rId52" Type="http://schemas.openxmlformats.org/officeDocument/2006/relationships/hyperlink" Target="https://docs.google.com/document/d/1IY0bnPbq-uQtT-aDaTONJXEDT6_NaGH-OhV1_1JUS5g/edit?usp=drivesdk" TargetMode="External"/><Relationship Id="rId55" Type="http://schemas.openxmlformats.org/officeDocument/2006/relationships/hyperlink" Target="https://docs.google.com/document/d/1EAZ9uC9eV0jQ2_9EwX2qNtcQuX4N_B3AZfoFYEPrq9I/edit?usp=drivesdk" TargetMode="External"/><Relationship Id="rId54" Type="http://schemas.openxmlformats.org/officeDocument/2006/relationships/hyperlink" Target="https://docs.google.com/document/d/1F85CKZLNQAeIkq8tbYHQZl0USrnfs98DHVjX0DUzQFw/edit?usp=drivesdk" TargetMode="External"/><Relationship Id="rId57" Type="http://schemas.openxmlformats.org/officeDocument/2006/relationships/hyperlink" Target="https://docs.google.com/document/d/11hNbvGkawrGvyewMRBpgP2z_VgQTLgmUHHtmTY4iCbg/edit?usp=drivesdk" TargetMode="External"/><Relationship Id="rId56" Type="http://schemas.openxmlformats.org/officeDocument/2006/relationships/hyperlink" Target="https://docs.google.com/document/d/1B0sUHBo2TB5S68P6touMLGOUReQoW6LiGsk8l0qpPxc/edit?usp=drivesdk" TargetMode="External"/><Relationship Id="rId59" Type="http://schemas.openxmlformats.org/officeDocument/2006/relationships/hyperlink" Target="https://docs.google.com/document/d/1IEO_lRLo6MzqScF5Dz9RCN1h0Jt-lt7dp79k2WDgOOo/edit?usp=drivesdk" TargetMode="External"/><Relationship Id="rId58" Type="http://schemas.openxmlformats.org/officeDocument/2006/relationships/hyperlink" Target="https://docs.google.com/document/d/1st9xieFkqflvCFZpTA_Esv5yKKTbE-vVBGNqui1lMzA/edit?usp=drivesd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CyBaRAfCgbghEWFJHGAmVoINI0uZVd3CKQ64vjDrvNU/edit?usp=drivesdk" TargetMode="External"/><Relationship Id="rId190" Type="http://schemas.openxmlformats.org/officeDocument/2006/relationships/hyperlink" Target="https://docs.google.com/document/d/1bsV8esC457gE01lTXMSu6ussbfOWiSEcYq_eYypaeVM/edit?usp=drivesdk" TargetMode="External"/><Relationship Id="rId42" Type="http://schemas.openxmlformats.org/officeDocument/2006/relationships/hyperlink" Target="https://docs.google.com/document/d/12jhtzvWxJyfzGE6KSNn02DevAURI31mHJJnV6H-nKb0/edit?usp=drivesdk" TargetMode="External"/><Relationship Id="rId41" Type="http://schemas.openxmlformats.org/officeDocument/2006/relationships/hyperlink" Target="https://docs.google.com/document/d/175NvpH_9hZXPioU1A2Q3-d22wPJUAY6QdrHPprXgrzI/edit?usp=drivesdk" TargetMode="External"/><Relationship Id="rId44" Type="http://schemas.openxmlformats.org/officeDocument/2006/relationships/hyperlink" Target="https://docs.google.com/document/d/1WYJ62j8YhALlz745FuwaoYZfk3nj7_VjgplSJGy88Jg/edit?usp=drivesdk" TargetMode="External"/><Relationship Id="rId194" Type="http://schemas.openxmlformats.org/officeDocument/2006/relationships/hyperlink" Target="https://docs.google.com/document/d/11AyRMyQdnno9eA_uH4YMOUdIOIom_9a4gnqcYjEdXrI/edit?usp=drivesdk" TargetMode="External"/><Relationship Id="rId43" Type="http://schemas.openxmlformats.org/officeDocument/2006/relationships/hyperlink" Target="https://docs.google.com/document/d/1IzImBs2MUwWCpls3R6leddebo937WFFvnfiatzFHuXQ/edit?usp=drivesdk" TargetMode="External"/><Relationship Id="rId193" Type="http://schemas.openxmlformats.org/officeDocument/2006/relationships/hyperlink" Target="https://docs.google.com/document/d/1tb_T9iwty7hfW0MDYZ5zqTebMk1nqEVy2mjFX8ykr7s/edit?usp=drivesdk" TargetMode="External"/><Relationship Id="rId46" Type="http://schemas.openxmlformats.org/officeDocument/2006/relationships/hyperlink" Target="https://docs.google.com/document/d/1sJ8tP-QkzWJDm3ol2RrJqAwJCfVnI9ZaaS3_49FIvr4/edit?usp=drivesdk" TargetMode="External"/><Relationship Id="rId192" Type="http://schemas.openxmlformats.org/officeDocument/2006/relationships/hyperlink" Target="https://docs.google.com/document/d/1hDskWCmikR01wFJ40_Da3k5Y2v7_KHNoZtXwYzMFfc8/edit?usp=drivesdk" TargetMode="External"/><Relationship Id="rId45" Type="http://schemas.openxmlformats.org/officeDocument/2006/relationships/hyperlink" Target="https://docs.google.com/document/d/1A4aND5Ue02nEXkn5vQg6iF4C9CXRhxSibJbnisAqPh4/edit?usp=drivesdk" TargetMode="External"/><Relationship Id="rId191" Type="http://schemas.openxmlformats.org/officeDocument/2006/relationships/hyperlink" Target="https://docs.google.com/document/d/1_mi6Tvemp7JmsMTa_Lb2IgQy2KhlvWZ7XrQewFiHTNs/edit?usp=drivesdk" TargetMode="External"/><Relationship Id="rId48" Type="http://schemas.openxmlformats.org/officeDocument/2006/relationships/hyperlink" Target="https://docs.google.com/document/d/1Rbp0ikVjRhwqifr6oUjOca3_HzQWnaj6gi41jvGYswk/edit?usp=drivesdk" TargetMode="External"/><Relationship Id="rId187" Type="http://schemas.openxmlformats.org/officeDocument/2006/relationships/hyperlink" Target="https://docs.google.com/document/d/13ONQrZs96Dr-g6gPSSv3wqlRNONMX3hlxNUXp88qpFI/edit?usp=drivesdk" TargetMode="External"/><Relationship Id="rId47" Type="http://schemas.openxmlformats.org/officeDocument/2006/relationships/hyperlink" Target="https://docs.google.com/document/d/1KFS0T7S2zQICdnaoVpltOjFHNtNCb5MwmC7SxCcC9Ls/edit?usp=drivesdk" TargetMode="External"/><Relationship Id="rId186" Type="http://schemas.openxmlformats.org/officeDocument/2006/relationships/hyperlink" Target="https://docs.google.com/document/d/1A5uTcSKN2npP_WbcQVL0Hwc0RvqGUCM0i74uvfyAvcM/edit?usp=drivesdk" TargetMode="External"/><Relationship Id="rId185" Type="http://schemas.openxmlformats.org/officeDocument/2006/relationships/hyperlink" Target="https://docs.google.com/document/d/1QCN-7MyxP2IZnDnEN5_Lg2jYwcJHc0gsw1xnJdpnep8/edit?usp=drivesdk" TargetMode="External"/><Relationship Id="rId49" Type="http://schemas.openxmlformats.org/officeDocument/2006/relationships/hyperlink" Target="https://docs.google.com/document/d/16_ewonTujJxl6WbY-5AoiVCVkCD8TT1GqcA_moznJBM/edit?usp=drivesdk" TargetMode="External"/><Relationship Id="rId184" Type="http://schemas.openxmlformats.org/officeDocument/2006/relationships/hyperlink" Target="https://docs.google.com/document/d/1SnFnCXRD_rrBup7w3mu3FEPnf_EBvOZ9fO-_bTWHFTw/edit?usp=drivesdk" TargetMode="External"/><Relationship Id="rId189" Type="http://schemas.openxmlformats.org/officeDocument/2006/relationships/hyperlink" Target="https://docs.google.com/document/d/1b2lX4tRgCfjBFWPRQFqCrfxbxNmEKXf8XSqi3uqDQ2o/edit?usp=drivesdk" TargetMode="External"/><Relationship Id="rId188" Type="http://schemas.openxmlformats.org/officeDocument/2006/relationships/hyperlink" Target="https://docs.google.com/document/d/1IPFksX5KwPf4cBAsU2Xb5KvTY3HI1xIdRRXIOkyZrw4/edit?usp=drivesdk" TargetMode="External"/><Relationship Id="rId31" Type="http://schemas.openxmlformats.org/officeDocument/2006/relationships/hyperlink" Target="https://docs.google.com/document/d/1xwc746b5ygU7eS72Ut88j6WIct3nJUABOPVBJu2sJdE/edit?usp=drivesdk" TargetMode="External"/><Relationship Id="rId30" Type="http://schemas.openxmlformats.org/officeDocument/2006/relationships/hyperlink" Target="https://docs.google.com/document/d/1C0A0rvDsSIKL8jnT4O7pwKsEp5RvJKOU1_3IS7m0JCU/edit?usp=drivesdk" TargetMode="External"/><Relationship Id="rId33" Type="http://schemas.openxmlformats.org/officeDocument/2006/relationships/hyperlink" Target="https://docs.google.com/document/d/118vh5zWzDaHacV691JH8dS9rYxBbYjBTrQB097yWGok/edit?usp=drivesdk" TargetMode="External"/><Relationship Id="rId183" Type="http://schemas.openxmlformats.org/officeDocument/2006/relationships/hyperlink" Target="https://docs.google.com/document/d/1TuYmEHs4x7m1-gcdpYb66xx8vRcdMGV6-x5HMXBMYTk/edit?usp=drivesdk" TargetMode="External"/><Relationship Id="rId32" Type="http://schemas.openxmlformats.org/officeDocument/2006/relationships/hyperlink" Target="https://docs.google.com/document/d/1Yh0epNwygmFWTZ4QsphC1BqBqunMHL8hYSLuegcMWTo/edit?usp=drivesdk" TargetMode="External"/><Relationship Id="rId182" Type="http://schemas.openxmlformats.org/officeDocument/2006/relationships/hyperlink" Target="https://docs.google.com/document/d/1LgD9oasIPcLlOVzst33KVSlrDyoF2X1rHw6Tf7sZgE0/edit?usp=drivesdk" TargetMode="External"/><Relationship Id="rId35" Type="http://schemas.openxmlformats.org/officeDocument/2006/relationships/hyperlink" Target="https://docs.google.com/document/d/106k6QlV1fDBscguKt67LfbXocW_0v59hPXEPoAM8fWo/edit?usp=drivesdk" TargetMode="External"/><Relationship Id="rId181" Type="http://schemas.openxmlformats.org/officeDocument/2006/relationships/hyperlink" Target="https://docs.google.com/document/d/1y97wa2Q7ZAhUcbOE8zDCH7H_f1yIO7ztnTqYBmR7PqM/edit?usp=drivesdk" TargetMode="External"/><Relationship Id="rId34" Type="http://schemas.openxmlformats.org/officeDocument/2006/relationships/hyperlink" Target="https://docs.google.com/document/d/1bibuO5qGOtgSmVazJeViLPk5a-342ri09M4iSxAci7U/edit?usp=drivesdk" TargetMode="External"/><Relationship Id="rId180" Type="http://schemas.openxmlformats.org/officeDocument/2006/relationships/hyperlink" Target="https://docs.google.com/document/d/14RWoovtM4muTrvJOn7hXqltn7kRXOLGmTNVplmmoRt4/edit?usp=drivesdk" TargetMode="External"/><Relationship Id="rId37" Type="http://schemas.openxmlformats.org/officeDocument/2006/relationships/hyperlink" Target="https://docs.google.com/document/d/1yTX5lTsdPd7nx-RlBs9wZmJ4juUuj-J-tECsUCTUxzs/edit?usp=drivesdk" TargetMode="External"/><Relationship Id="rId176" Type="http://schemas.openxmlformats.org/officeDocument/2006/relationships/hyperlink" Target="https://docs.google.com/document/d/1Gw11XTu1Tb_K9IJJc-vjrZioD7l_SSVEUe5G6ddg1No/edit?usp=drivesdk" TargetMode="External"/><Relationship Id="rId36" Type="http://schemas.openxmlformats.org/officeDocument/2006/relationships/hyperlink" Target="https://docs.google.com/document/d/1jc3sI180S5tycCdG55FF9jmVHuAGI7CkHhXODdBJlVo/edit?usp=drivesdk" TargetMode="External"/><Relationship Id="rId175" Type="http://schemas.openxmlformats.org/officeDocument/2006/relationships/hyperlink" Target="https://docs.google.com/document/d/1P7OUWudErcQeig5Sbm9NMxJ8JfC4dIQoeXaQX1j4gGo/edit?usp=drivesdk" TargetMode="External"/><Relationship Id="rId39" Type="http://schemas.openxmlformats.org/officeDocument/2006/relationships/hyperlink" Target="https://docs.google.com/document/d/1lxkvre8_ZzF6R8BJOS1OxL0hmpglUupngTIhdT1kTmg/edit?usp=drivesdk" TargetMode="External"/><Relationship Id="rId174" Type="http://schemas.openxmlformats.org/officeDocument/2006/relationships/hyperlink" Target="https://docs.google.com/document/d/1Hc0CQUgpfL9fr_kuSPymzlQ6LnqvVnRVGYy9JReDfqo/edit?usp=drivesdk" TargetMode="External"/><Relationship Id="rId38" Type="http://schemas.openxmlformats.org/officeDocument/2006/relationships/hyperlink" Target="https://docs.google.com/document/d/1O-bAUVAiuy2bk79R_EV-M8h-KHIJ3DF5Hhv9582NJjA/edit?usp=drivesdk" TargetMode="External"/><Relationship Id="rId173" Type="http://schemas.openxmlformats.org/officeDocument/2006/relationships/hyperlink" Target="https://docs.google.com/document/d/1zXXWfQomYGVYA14sFaOWNmV4sGX9-K-Cqs9Ligi7DvU/edit?usp=drivesdk" TargetMode="External"/><Relationship Id="rId179" Type="http://schemas.openxmlformats.org/officeDocument/2006/relationships/hyperlink" Target="https://docs.google.com/document/d/1uHWuAlH_D0XFcP5NXF1ZH5VVjMTCRWeoClVwCuMfGGA/edit?usp=drivesdk" TargetMode="External"/><Relationship Id="rId178" Type="http://schemas.openxmlformats.org/officeDocument/2006/relationships/hyperlink" Target="https://docs.google.com/document/d/181XhppW2L-Gj__C2nRkeXcpN8-98ojqplKbl8TwqgYc/edit?usp=drivesdk" TargetMode="External"/><Relationship Id="rId177" Type="http://schemas.openxmlformats.org/officeDocument/2006/relationships/hyperlink" Target="https://docs.google.com/document/d/1Unlbc3g9fg6gwVIyuEkiajSkp6oKOws2mppxZa56-Hg/edit?usp=drivesdk" TargetMode="External"/><Relationship Id="rId20" Type="http://schemas.openxmlformats.org/officeDocument/2006/relationships/hyperlink" Target="https://docs.google.com/document/d/1_WGiBJD6DVbFEAqu4Jn485bWCHESHYonWQ9anODJaW8/edit?usp=drivesdk" TargetMode="External"/><Relationship Id="rId22" Type="http://schemas.openxmlformats.org/officeDocument/2006/relationships/hyperlink" Target="https://docs.google.com/document/d/1WzJMZg2EXGR8mOQnSF-R7W7zK-8Pims00uFcayCK8aI/edit?usp=drivesdk" TargetMode="External"/><Relationship Id="rId21" Type="http://schemas.openxmlformats.org/officeDocument/2006/relationships/hyperlink" Target="https://docs.google.com/document/d/1_KUuYYdZzHpXO1i36RnEwDBQYzYt7fkbKzSwfZLG6uo/edit?usp=drivesdk" TargetMode="External"/><Relationship Id="rId24" Type="http://schemas.openxmlformats.org/officeDocument/2006/relationships/hyperlink" Target="https://docs.google.com/document/d/10zQXk8Z6GMNdbTrRVlR9Q03yJldMBxFHfgMic3d67RI/edit?usp=drivesdk" TargetMode="External"/><Relationship Id="rId23" Type="http://schemas.openxmlformats.org/officeDocument/2006/relationships/hyperlink" Target="https://docs.google.com/document/d/13ZevETyvqC3sMThdcPI8d1xE4HfmOavpCjjVdCpbW6o/edit?usp=drivesdk" TargetMode="External"/><Relationship Id="rId26" Type="http://schemas.openxmlformats.org/officeDocument/2006/relationships/hyperlink" Target="https://docs.google.com/document/d/13FCPsTxK5AawIyGERftK-f0DjV1NcI0HuiPyE-rRdVM/edit?usp=drivesdk" TargetMode="External"/><Relationship Id="rId25" Type="http://schemas.openxmlformats.org/officeDocument/2006/relationships/hyperlink" Target="https://docs.google.com/document/d/1bktVaeKRamAfFUH74fer6PkjkDHQdpb4dcoL8k1I3l0/edit?usp=drivesdk" TargetMode="External"/><Relationship Id="rId28" Type="http://schemas.openxmlformats.org/officeDocument/2006/relationships/hyperlink" Target="https://docs.google.com/document/d/1KiKwiLQytl5MLfkMMYkh-FXCHEUm6lVJultZLnnm1zA/edit?usp=drivesdk" TargetMode="External"/><Relationship Id="rId27" Type="http://schemas.openxmlformats.org/officeDocument/2006/relationships/hyperlink" Target="https://docs.google.com/document/d/144D_qE65WpfrrtBdEXkNtIyS0X9PBAL6wBxAqysAxJA/edit?usp=drivesdk" TargetMode="External"/><Relationship Id="rId29" Type="http://schemas.openxmlformats.org/officeDocument/2006/relationships/hyperlink" Target="https://docs.google.com/document/d/17_oGrkuSoB3Q7ZEkP58sOjQbKMdkQ0VxnLF-JDFAol0/edit?usp=drivesdk" TargetMode="External"/><Relationship Id="rId11" Type="http://schemas.openxmlformats.org/officeDocument/2006/relationships/hyperlink" Target="https://docs.google.com/document/d/1CjGY0J9vvM5kmIzYWOU8jttUbnd2Yp0uOKSm_tkhCr4/edit?usp=drivesdk" TargetMode="External"/><Relationship Id="rId10" Type="http://schemas.openxmlformats.org/officeDocument/2006/relationships/hyperlink" Target="https://docs.google.com/document/d/1i7QIkSKA5cdocnMX2T99KJHqDbnkXADCe_Q5ex9cHiI/edit?usp=drivesdk" TargetMode="External"/><Relationship Id="rId13" Type="http://schemas.openxmlformats.org/officeDocument/2006/relationships/hyperlink" Target="https://docs.google.com/document/d/1tYuZ0DhKIvizRgXfr4mPgve9e_XY7bcVI4PHE-JkLbo/edit?usp=drivesdk" TargetMode="External"/><Relationship Id="rId12" Type="http://schemas.openxmlformats.org/officeDocument/2006/relationships/hyperlink" Target="https://docs.google.com/document/d/1reUADj-jaNbUSdBLNvpWjD0Vzy633u3I6E6KlwlEkGM/edit?usp=drivesdk" TargetMode="External"/><Relationship Id="rId15" Type="http://schemas.openxmlformats.org/officeDocument/2006/relationships/hyperlink" Target="https://docs.google.com/document/d/1hrdwd44GVUqN59AU0pIpFZfikMzTtMq3msIMnOFwXKg/edit?usp=drivesdk" TargetMode="External"/><Relationship Id="rId198" Type="http://schemas.openxmlformats.org/officeDocument/2006/relationships/hyperlink" Target="https://docs.google.com/document/d/1KHIzkeJDrSTfDiPg6dIhcdA6xaxRuTsIUizjgOvW6EI/edit?usp=drivesdk" TargetMode="External"/><Relationship Id="rId14" Type="http://schemas.openxmlformats.org/officeDocument/2006/relationships/hyperlink" Target="https://docs.google.com/document/d/1ii5gmC3r8lDz1UJeUGPa3hwAMimRSkAwsrg8Y-JXmQY/edit?usp=drivesdk" TargetMode="External"/><Relationship Id="rId197" Type="http://schemas.openxmlformats.org/officeDocument/2006/relationships/hyperlink" Target="https://docs.google.com/document/d/1vcEoCb2c1bhLSsLGTMeTy2n9wf94FD_CpXHSlzpLT3k/edit?usp=drivesdk" TargetMode="External"/><Relationship Id="rId17" Type="http://schemas.openxmlformats.org/officeDocument/2006/relationships/hyperlink" Target="https://docs.google.com/document/d/1jB3Y7defPFjsZJPPet4a3OMUh7NJcrhLtsZAijeOwcU/edit?usp=drivesdk" TargetMode="External"/><Relationship Id="rId196" Type="http://schemas.openxmlformats.org/officeDocument/2006/relationships/hyperlink" Target="https://docs.google.com/document/d/1qsTPAd05qrnszOIJHBmWSuSNRHi9HnaXqu4EX7WLtaU/edit?usp=drivesdk" TargetMode="External"/><Relationship Id="rId16" Type="http://schemas.openxmlformats.org/officeDocument/2006/relationships/hyperlink" Target="https://docs.google.com/document/d/1dQG5uOrt6e7vsPd6kEocV7BjVYJknnCzi5pXVEQmRsk/edit?usp=drivesdk" TargetMode="External"/><Relationship Id="rId195" Type="http://schemas.openxmlformats.org/officeDocument/2006/relationships/hyperlink" Target="https://docs.google.com/document/d/1rLpfTPTqEyBUb055hTTOYez5QPhd2cRmQjs5pdnOZjQ/edit?usp=drivesdk" TargetMode="External"/><Relationship Id="rId19" Type="http://schemas.openxmlformats.org/officeDocument/2006/relationships/hyperlink" Target="https://docs.google.com/document/d/1jnaJ2PzneywP3qOIfmYT9YAsPQ0rM1J7xGBaqe5CPvY/edit?usp=drivesdk" TargetMode="External"/><Relationship Id="rId18" Type="http://schemas.openxmlformats.org/officeDocument/2006/relationships/hyperlink" Target="https://docs.google.com/document/d/1jhnkB0-LOWPfCkxgR2ehGSL_UXa48Zumm1lR2ic9uNs/edit?usp=drivesdk" TargetMode="External"/><Relationship Id="rId199" Type="http://schemas.openxmlformats.org/officeDocument/2006/relationships/hyperlink" Target="https://docs.google.com/document/d/1HEmAkTZzG78OCfsKvaEzS9rdQVionjzT59tYo7VzIs0/edit?usp=drivesdk" TargetMode="External"/><Relationship Id="rId84" Type="http://schemas.openxmlformats.org/officeDocument/2006/relationships/hyperlink" Target="https://docs.google.com/document/d/1YKg-1WHYj7IZuha53cZAaeR-fIxslvUrgetEdbgMEyo/edit?usp=drivesdk" TargetMode="External"/><Relationship Id="rId83" Type="http://schemas.openxmlformats.org/officeDocument/2006/relationships/hyperlink" Target="https://docs.google.com/document/d/1ILZLUNs3StJghDUDMv1VAnkc5NJmBj-Savgs1Ta8Lqs/edit?usp=drivesdk" TargetMode="External"/><Relationship Id="rId86" Type="http://schemas.openxmlformats.org/officeDocument/2006/relationships/hyperlink" Target="https://docs.google.com/document/d/14G6PLctzP61ccCTUwPIo4BY8sd7mh7Ae7V7awPRQobk/edit?usp=drivesdk" TargetMode="External"/><Relationship Id="rId85" Type="http://schemas.openxmlformats.org/officeDocument/2006/relationships/hyperlink" Target="https://docs.google.com/document/d/1OZQEfDDYkxkw80cs8gPh7DTj6ocevymjDgMF3xycTsU/edit?usp=drivesdk" TargetMode="External"/><Relationship Id="rId88" Type="http://schemas.openxmlformats.org/officeDocument/2006/relationships/hyperlink" Target="https://docs.google.com/document/d/1YIi6yZ5UPoodNaQQ-q8aaSuLdECZx2GgGaUX_tnw0DY/edit?usp=drivesdk" TargetMode="External"/><Relationship Id="rId150" Type="http://schemas.openxmlformats.org/officeDocument/2006/relationships/hyperlink" Target="https://docs.google.com/document/d/1xBgjTQ6JQqLnswzWdqpAwZ9zZ1qleeIXR3JJyYXfSHg/edit?usp=drivesdk" TargetMode="External"/><Relationship Id="rId87" Type="http://schemas.openxmlformats.org/officeDocument/2006/relationships/hyperlink" Target="https://docs.google.com/document/d/1R6EPE5g5uU7Z22g3BYSo1W7AnxtbKKOKNoxoMFOh0E8/edit?usp=drivesdk" TargetMode="External"/><Relationship Id="rId89" Type="http://schemas.openxmlformats.org/officeDocument/2006/relationships/hyperlink" Target="https://docs.google.com/document/d/1BYrkma3Ri2Iz9LYOlYFnegLmAIjsDHyS335ho-fRbIg/edit?usp=drivesdk" TargetMode="External"/><Relationship Id="rId80" Type="http://schemas.openxmlformats.org/officeDocument/2006/relationships/hyperlink" Target="https://docs.google.com/document/d/1fwwoTjerZZshOYM61CA6aM8gy0iRSIdbpKaD6a6MA90/edit?usp=drivesdk" TargetMode="External"/><Relationship Id="rId82" Type="http://schemas.openxmlformats.org/officeDocument/2006/relationships/hyperlink" Target="https://docs.google.com/document/d/1rjfdjW2YLEykpEZRBJK-XZ35nB-Q43i0KkJJ1wzBYQ0/edit?usp=drivesdk" TargetMode="External"/><Relationship Id="rId81" Type="http://schemas.openxmlformats.org/officeDocument/2006/relationships/hyperlink" Target="https://docs.google.com/document/d/1KBBT-7-P7AfCEKQYfJF4bq7kkLm0XLQ-QkcTcObf_Mw/edit?usp=drivesdk" TargetMode="External"/><Relationship Id="rId1" Type="http://schemas.openxmlformats.org/officeDocument/2006/relationships/hyperlink" Target="https://docs.google.com/document/d/1zbh32ywpRq-eEdYICMsRA3T7SzngSNa-PfqVxoOIMBk/edit?usp=drivesdk" TargetMode="External"/><Relationship Id="rId2" Type="http://schemas.openxmlformats.org/officeDocument/2006/relationships/hyperlink" Target="https://docs.google.com/document/d/1NYqZc4GV6lcnQcVR3124SDvhjxlOfk2JVQBaVhzdBRM/edit?usp=drivesdk" TargetMode="External"/><Relationship Id="rId3" Type="http://schemas.openxmlformats.org/officeDocument/2006/relationships/hyperlink" Target="https://docs.google.com/document/d/1mv67qN_cK_no9ichD1ACW4cqTc2mzr2b6OK7bJsJCTk/edit?usp=drivesdk" TargetMode="External"/><Relationship Id="rId149" Type="http://schemas.openxmlformats.org/officeDocument/2006/relationships/hyperlink" Target="https://docs.google.com/document/d/1XSU-XcumgWhRI1Ptv58HlwznzBoAq8qFy8ObX33Xz5Y/edit?usp=drivesdk" TargetMode="External"/><Relationship Id="rId4" Type="http://schemas.openxmlformats.org/officeDocument/2006/relationships/hyperlink" Target="https://docs.google.com/document/d/1xr68WYI4yiZeyx52CKv8hNgSCU_e5sovmi2fL8YDWWY/edit?usp=drivesdk" TargetMode="External"/><Relationship Id="rId148" Type="http://schemas.openxmlformats.org/officeDocument/2006/relationships/hyperlink" Target="https://docs.google.com/document/d/1DfJLGBgFnBiW7nCI0XaoNcuq-vldxgwJz45Nt-rmFkU/edit?usp=drivesdk" TargetMode="External"/><Relationship Id="rId9" Type="http://schemas.openxmlformats.org/officeDocument/2006/relationships/hyperlink" Target="https://docs.google.com/document/d/1tC0RudLl4LK1cazhfiw8wB-2TWOXrxoxgLj_cVy5ce0/edit?usp=drivesdk" TargetMode="External"/><Relationship Id="rId143" Type="http://schemas.openxmlformats.org/officeDocument/2006/relationships/hyperlink" Target="https://docs.google.com/document/d/1KNJl36j78-O_1ZkE77NXcfEzdAyWjxCxoQQT9xSES1s/edit?usp=drivesdk" TargetMode="External"/><Relationship Id="rId142" Type="http://schemas.openxmlformats.org/officeDocument/2006/relationships/hyperlink" Target="https://docs.google.com/document/d/161xLaKtAccpk60sbEv66mmdM4SavebC1q6FyXiRRLgA/edit?usp=drivesdk" TargetMode="External"/><Relationship Id="rId141" Type="http://schemas.openxmlformats.org/officeDocument/2006/relationships/hyperlink" Target="https://docs.google.com/document/d/1VBSDRcyxWGnV6qhDPavhBfL3ov4x1PkQuQ3btAfPna8/edit?usp=drivesdk" TargetMode="External"/><Relationship Id="rId140" Type="http://schemas.openxmlformats.org/officeDocument/2006/relationships/hyperlink" Target="https://docs.google.com/document/d/1yjgNv0L3xOXIyiIxZj5Hwqyrw8dGIgpbB9JB2xsVytk/edit?usp=drivesdk" TargetMode="External"/><Relationship Id="rId5" Type="http://schemas.openxmlformats.org/officeDocument/2006/relationships/hyperlink" Target="https://docs.google.com/document/d/1PC_CGEuUXgX9DbCYpIGf-KccTjJQ8S4gBMn_w3BL13M/edit?usp=drivesdk" TargetMode="External"/><Relationship Id="rId147" Type="http://schemas.openxmlformats.org/officeDocument/2006/relationships/hyperlink" Target="https://docs.google.com/document/d/1Q_yl39hUQdU54Pnev0ZpoQavgfg5RAweAYL8sHrtEmY/edit?usp=drivesdk" TargetMode="External"/><Relationship Id="rId6" Type="http://schemas.openxmlformats.org/officeDocument/2006/relationships/hyperlink" Target="https://docs.google.com/document/d/1vTttk7ZIfqUxII6uQjJzcqBOP1vnszV9-vPMZIhMMJ0/edit?usp=drivesdk" TargetMode="External"/><Relationship Id="rId146" Type="http://schemas.openxmlformats.org/officeDocument/2006/relationships/hyperlink" Target="https://docs.google.com/document/d/1c9h6V_tQacfr4ZM-TWLCxC1seLWPYSPYunwYKAzuZco/edit?usp=drivesdk" TargetMode="External"/><Relationship Id="rId7" Type="http://schemas.openxmlformats.org/officeDocument/2006/relationships/hyperlink" Target="https://docs.google.com/document/d/1hOVoDajop_FNRVELnHSq2tU2-EXg0dKdv09T90ZWvHI/edit?usp=drivesdk" TargetMode="External"/><Relationship Id="rId145" Type="http://schemas.openxmlformats.org/officeDocument/2006/relationships/hyperlink" Target="https://docs.google.com/document/d/193AlsQqCILj_m7_fXl5Jqgsdu5MJgrtnlsQOK9OTJ88/edit?usp=drivesdk" TargetMode="External"/><Relationship Id="rId8" Type="http://schemas.openxmlformats.org/officeDocument/2006/relationships/hyperlink" Target="https://docs.google.com/document/d/1HClCyum5Kc8jPrmOBMf6E2T8zPWDnZ2zZxb5wPbZdNc/edit?usp=drivesdk" TargetMode="External"/><Relationship Id="rId144" Type="http://schemas.openxmlformats.org/officeDocument/2006/relationships/hyperlink" Target="https://docs.google.com/document/d/1d1IErjnzH7tYuK7klfhMTHOlGBCzc23qeMqP7Y226ho/edit?usp=drivesdk" TargetMode="External"/><Relationship Id="rId73" Type="http://schemas.openxmlformats.org/officeDocument/2006/relationships/hyperlink" Target="https://docs.google.com/document/d/1V0_zwnrOfy6DxCB072R8n64BazCCDzjpM2mTyqrAOrk/edit?usp=drivesdk" TargetMode="External"/><Relationship Id="rId72" Type="http://schemas.openxmlformats.org/officeDocument/2006/relationships/hyperlink" Target="https://docs.google.com/document/d/1oFJ-jva5hAmhodvuIhO0J7nGJsKZi8ilFABu5fkutSs/edit?usp=drivesdk" TargetMode="External"/><Relationship Id="rId75" Type="http://schemas.openxmlformats.org/officeDocument/2006/relationships/hyperlink" Target="https://docs.google.com/document/d/1Ds5El0EoIp-eaqMFeDjITbFVcr6D6yj-e9pGO8TnFok/edit?usp=drivesdk" TargetMode="External"/><Relationship Id="rId74" Type="http://schemas.openxmlformats.org/officeDocument/2006/relationships/hyperlink" Target="https://docs.google.com/document/d/1IsHHmSXFu-LXo9S8GC3P2Fuq5mkoRb2cfsD8cu5EIlU/edit?usp=drivesdk" TargetMode="External"/><Relationship Id="rId77" Type="http://schemas.openxmlformats.org/officeDocument/2006/relationships/hyperlink" Target="https://docs.google.com/document/d/1WDuqabMJ-dvU6-UljVmS44mI-23TGKFZY1vMQ1sm6GA/edit?usp=drivesdk" TargetMode="External"/><Relationship Id="rId76" Type="http://schemas.openxmlformats.org/officeDocument/2006/relationships/hyperlink" Target="https://docs.google.com/document/d/1U9ILD4djxwdK_yvvMpi7df9GiNQh6BP4mgcEsW-2Bj0/edit?usp=drivesdk" TargetMode="External"/><Relationship Id="rId79" Type="http://schemas.openxmlformats.org/officeDocument/2006/relationships/hyperlink" Target="https://docs.google.com/document/d/14AhNy6MgclG4O93pidccpIM_TYpK1n3TZ9Q6GLypNyA/edit?usp=drivesdk" TargetMode="External"/><Relationship Id="rId78" Type="http://schemas.openxmlformats.org/officeDocument/2006/relationships/hyperlink" Target="https://docs.google.com/document/d/1N3JEdk-3oKf2f8FITEqSUZP1yRjIqeqroStFujfRxaQ/edit?usp=drivesdk" TargetMode="External"/><Relationship Id="rId71" Type="http://schemas.openxmlformats.org/officeDocument/2006/relationships/hyperlink" Target="https://docs.google.com/document/d/1lxPU3joDwbbNfpYM_amVAELnTmiof-vRcgr7B7H-Gx0/edit?usp=drivesdk" TargetMode="External"/><Relationship Id="rId70" Type="http://schemas.openxmlformats.org/officeDocument/2006/relationships/hyperlink" Target="https://docs.google.com/document/d/1BG6nvORtUQo4uHEIDupxCARzyU65sER65FGwRxEdtFw/edit?usp=drivesdk" TargetMode="External"/><Relationship Id="rId139" Type="http://schemas.openxmlformats.org/officeDocument/2006/relationships/hyperlink" Target="https://docs.google.com/document/d/1uk7uA_kxKoIaRONzGNE1WH1FAgItwBHeArvsYhYgUjk/edit?usp=drivesdk" TargetMode="External"/><Relationship Id="rId138" Type="http://schemas.openxmlformats.org/officeDocument/2006/relationships/hyperlink" Target="https://docs.google.com/document/d/17Vg6Dv_Vk5DkS0qdgrAwWTWm16JKBxP3k1BwsxjW0uw/edit?usp=drivesdk" TargetMode="External"/><Relationship Id="rId137" Type="http://schemas.openxmlformats.org/officeDocument/2006/relationships/hyperlink" Target="https://docs.google.com/document/d/1kRRV9UKDYga6XgMLrC1wDOpWrOfq0UGPCRG59mjQX0I/edit?usp=drivesdk" TargetMode="External"/><Relationship Id="rId132" Type="http://schemas.openxmlformats.org/officeDocument/2006/relationships/hyperlink" Target="https://docs.google.com/document/d/128l7JZV5mK1IGrhui6GNIEAPXPuWITnmdn85pw9GX7U/edit?usp=drivesdk" TargetMode="External"/><Relationship Id="rId131" Type="http://schemas.openxmlformats.org/officeDocument/2006/relationships/hyperlink" Target="https://docs.google.com/document/d/1BX3l-C2SbbE13FTkW5F4868G7xvBtFPY1FtySfzILh0/edit?usp=drivesdk" TargetMode="External"/><Relationship Id="rId130" Type="http://schemas.openxmlformats.org/officeDocument/2006/relationships/hyperlink" Target="https://docs.google.com/document/d/1UMH-qsxZA19XI1S5Blyq2yUcx-9QowAbbavSNRmhFws/edit?usp=drivesdk" TargetMode="External"/><Relationship Id="rId136" Type="http://schemas.openxmlformats.org/officeDocument/2006/relationships/hyperlink" Target="https://docs.google.com/document/d/1nZTO6Rf8__BVV7FeDN7wMq6uxf3KDLlD7NIWhc5wj-o/edit?usp=drivesdk" TargetMode="External"/><Relationship Id="rId135" Type="http://schemas.openxmlformats.org/officeDocument/2006/relationships/hyperlink" Target="https://docs.google.com/document/d/1R1iFQKod4DEeDg5Ao6Gae7hbyY5WANbzm4QzYC19dFQ/edit?usp=drivesdk" TargetMode="External"/><Relationship Id="rId134" Type="http://schemas.openxmlformats.org/officeDocument/2006/relationships/hyperlink" Target="https://docs.google.com/document/d/1o01b80xIQUE-_z_hB0S7eRQsepIkBDsQ6FiIEiZik3E/edit?usp=drivesdk" TargetMode="External"/><Relationship Id="rId133" Type="http://schemas.openxmlformats.org/officeDocument/2006/relationships/hyperlink" Target="https://docs.google.com/document/d/1MICIEQhTU9gmp8qqq9YeFk44fbR-z-pvfSaC24_G0eI/edit?usp=drivesdk" TargetMode="External"/><Relationship Id="rId62" Type="http://schemas.openxmlformats.org/officeDocument/2006/relationships/hyperlink" Target="https://docs.google.com/document/d/1MpqZ5dsBN_AGNOjXWaW3xYxv_0fEz0NBOcvXYyMUUWk/edit?usp=drivesdk" TargetMode="External"/><Relationship Id="rId61" Type="http://schemas.openxmlformats.org/officeDocument/2006/relationships/hyperlink" Target="https://docs.google.com/document/d/1DEQ-aB2F-rYZUlCsGVq4pndvxW9xZVvlywTKRXgeCaY/edit?usp=drivesdk" TargetMode="External"/><Relationship Id="rId64" Type="http://schemas.openxmlformats.org/officeDocument/2006/relationships/hyperlink" Target="https://docs.google.com/document/d/1wHJXHdLtk7OPLEtVLWfE5aT88_vEL3SNDSdKL4cAVmU/edit?usp=drivesdk" TargetMode="External"/><Relationship Id="rId63" Type="http://schemas.openxmlformats.org/officeDocument/2006/relationships/hyperlink" Target="https://docs.google.com/document/d/1Rvjj0qcNykvD1zVR7kaw8wAGnQO3DTpPfBeSUE5W_84/edit?usp=drivesdk" TargetMode="External"/><Relationship Id="rId66" Type="http://schemas.openxmlformats.org/officeDocument/2006/relationships/hyperlink" Target="https://docs.google.com/document/d/1jtmXEe6MGfuB1JjJT0FSB0PoFD3nFAeX5j-iSix81nE/edit?usp=drivesdk" TargetMode="External"/><Relationship Id="rId172" Type="http://schemas.openxmlformats.org/officeDocument/2006/relationships/hyperlink" Target="https://docs.google.com/document/d/1oLWChynKEFePOK5IYzsCUgku8oyYj17ATbZUGGsaOW4/edit?usp=drivesdk" TargetMode="External"/><Relationship Id="rId65" Type="http://schemas.openxmlformats.org/officeDocument/2006/relationships/hyperlink" Target="https://docs.google.com/document/d/1dluHyLqFVbNZgs58g7HR3zN04D9XFcgvUQPNjsxpD9Y/edit?usp=drivesdk" TargetMode="External"/><Relationship Id="rId171" Type="http://schemas.openxmlformats.org/officeDocument/2006/relationships/hyperlink" Target="https://docs.google.com/document/d/1_7HXdE_6wwijRrmw01q-qdRbnqGwkBrcDmUqGNqU3Ck/edit?usp=drivesdk" TargetMode="External"/><Relationship Id="rId68" Type="http://schemas.openxmlformats.org/officeDocument/2006/relationships/hyperlink" Target="https://docs.google.com/document/d/1pcnJYX7qtxzW-adi-JmkT6ZAb81uzs3LsLbvKHWh1A8/edit?usp=drivesdk" TargetMode="External"/><Relationship Id="rId170" Type="http://schemas.openxmlformats.org/officeDocument/2006/relationships/hyperlink" Target="https://docs.google.com/document/d/19C_--ZwML7vIRdK1Ey8nZd0D6n0cwrQQPNI-aHBg76k/edit?usp=drivesdk" TargetMode="External"/><Relationship Id="rId67" Type="http://schemas.openxmlformats.org/officeDocument/2006/relationships/hyperlink" Target="https://docs.google.com/document/d/13u2hJ19J-pDz1e79IxHBPLGuqXl0wVzsI0OKRpq-ZhA/edit?usp=drivesdk" TargetMode="External"/><Relationship Id="rId60" Type="http://schemas.openxmlformats.org/officeDocument/2006/relationships/hyperlink" Target="https://docs.google.com/document/d/11UWgSJ-OySXO5yJJl46EzoLdJGyeg31rQhWusfxRR3k/edit?usp=drivesdk" TargetMode="External"/><Relationship Id="rId165" Type="http://schemas.openxmlformats.org/officeDocument/2006/relationships/hyperlink" Target="https://docs.google.com/document/d/1HiqNf0sIdOVWdPfnllaalb42MFSf3DoduJ9eWHfYADs/edit?usp=drivesdk" TargetMode="External"/><Relationship Id="rId69" Type="http://schemas.openxmlformats.org/officeDocument/2006/relationships/hyperlink" Target="https://docs.google.com/document/d/1i8B7e9huhsNN6sxWwvsc42VHx5VTjvdA2jFbQQeGuqU/edit?usp=drivesdk" TargetMode="External"/><Relationship Id="rId164" Type="http://schemas.openxmlformats.org/officeDocument/2006/relationships/hyperlink" Target="https://docs.google.com/document/d/1g55zch0bRHCw8LsRzm7PFUhGyBRy6kCCwQsFxFe006E/edit?usp=drivesdk" TargetMode="External"/><Relationship Id="rId163" Type="http://schemas.openxmlformats.org/officeDocument/2006/relationships/hyperlink" Target="https://docs.google.com/document/d/1IA8ilHDfErVmXGlzMrYO5oEn1XXWx1cKt6tCn6QaUQk/edit?usp=drivesdk" TargetMode="External"/><Relationship Id="rId162" Type="http://schemas.openxmlformats.org/officeDocument/2006/relationships/hyperlink" Target="https://docs.google.com/document/d/1wIjjwbr2JVi0_ZWI16JxzCI_73CRPcqBkn_Zq-2UbOw/edit?usp=drivesdk" TargetMode="External"/><Relationship Id="rId169" Type="http://schemas.openxmlformats.org/officeDocument/2006/relationships/hyperlink" Target="https://docs.google.com/document/d/1OVD_4MkANY24z5UAUAMWlRKl1zK18c59J6l56oLh4Dg/edit?usp=drivesdk" TargetMode="External"/><Relationship Id="rId168" Type="http://schemas.openxmlformats.org/officeDocument/2006/relationships/hyperlink" Target="https://docs.google.com/document/d/14YPY-vQuCrIT8P-Rwd2qpVfVXQNlso7R24JdNjX2keg/edit?usp=drivesdk" TargetMode="External"/><Relationship Id="rId167" Type="http://schemas.openxmlformats.org/officeDocument/2006/relationships/hyperlink" Target="https://docs.google.com/document/d/1X5G7d_keq_t6SpNJlGwOx_p3t65L9AdSbSbvq9LscaM/edit?usp=drivesdk" TargetMode="External"/><Relationship Id="rId166" Type="http://schemas.openxmlformats.org/officeDocument/2006/relationships/hyperlink" Target="https://docs.google.com/document/d/1f7rcep2PwS0NcNVJxUHsLZ_7L48AhJN-PfRuyiPUjBc/edit?usp=drivesdk" TargetMode="External"/><Relationship Id="rId51" Type="http://schemas.openxmlformats.org/officeDocument/2006/relationships/hyperlink" Target="https://docs.google.com/document/d/1E1F0LB1oDI6DIlhDp4O_XYBjVt_pdrLe3LxkUw5QnDw/edit?usp=drivesdk" TargetMode="External"/><Relationship Id="rId50" Type="http://schemas.openxmlformats.org/officeDocument/2006/relationships/hyperlink" Target="https://docs.google.com/document/d/16GLmEFUu8nwj96sj9AWHXXzlzH7EZi97ZlW9CZLkQYM/edit?usp=drivesdk" TargetMode="External"/><Relationship Id="rId53" Type="http://schemas.openxmlformats.org/officeDocument/2006/relationships/hyperlink" Target="https://docs.google.com/document/d/1hboDTn98mdbtg0UiLcWiz_eCL-OnlE75VhMoUGmmUw4/edit?usp=drivesdk" TargetMode="External"/><Relationship Id="rId52" Type="http://schemas.openxmlformats.org/officeDocument/2006/relationships/hyperlink" Target="https://docs.google.com/document/d/1i8RX2ho_kIfzBETdVcOnllefYn_ESK0ZtxcVTWQyPGY/edit?usp=drivesdk" TargetMode="External"/><Relationship Id="rId55" Type="http://schemas.openxmlformats.org/officeDocument/2006/relationships/hyperlink" Target="https://docs.google.com/document/d/1rgk8P2gmU3CZGZrUs_XlnPSNVdXJ19jCZQKyEb2H2cs/edit?usp=drivesdk" TargetMode="External"/><Relationship Id="rId161" Type="http://schemas.openxmlformats.org/officeDocument/2006/relationships/hyperlink" Target="https://docs.google.com/document/d/196xtcsOAVV_Sjr8gEZMYd1vNAz31OpQ5y9nZnsjF2rg/edit?usp=drivesdk" TargetMode="External"/><Relationship Id="rId54" Type="http://schemas.openxmlformats.org/officeDocument/2006/relationships/hyperlink" Target="https://docs.google.com/document/d/1PZFfy8AtQKk4wGU5BaEsp1v70G84DVrwm16CfLWEH_8/edit?usp=drivesdk" TargetMode="External"/><Relationship Id="rId160" Type="http://schemas.openxmlformats.org/officeDocument/2006/relationships/hyperlink" Target="https://docs.google.com/document/d/18szfyDK9X-y91OpjivgI2f54C_bfHgQ-GEX1kfBGqZ4/edit?usp=drivesdk" TargetMode="External"/><Relationship Id="rId57" Type="http://schemas.openxmlformats.org/officeDocument/2006/relationships/hyperlink" Target="https://docs.google.com/document/d/1jlmG83dJV4LetZ9GUISc_PIje_xfInigJKtAQRNT2Kw/edit?usp=drivesdk" TargetMode="External"/><Relationship Id="rId56" Type="http://schemas.openxmlformats.org/officeDocument/2006/relationships/hyperlink" Target="https://docs.google.com/document/d/1ofJvdkX1UIh0kSlZ0SFo1_hFQzAU4vFYfNQbwzXwwXE/edit?usp=drivesdk" TargetMode="External"/><Relationship Id="rId159" Type="http://schemas.openxmlformats.org/officeDocument/2006/relationships/hyperlink" Target="https://docs.google.com/document/d/1dcdTiE3yFYaO7tXp3Jdw4I0b9HM7pspd89bPZH1SREc/edit?usp=drivesdk" TargetMode="External"/><Relationship Id="rId59" Type="http://schemas.openxmlformats.org/officeDocument/2006/relationships/hyperlink" Target="https://docs.google.com/document/d/1DpQOptzJxlMmGSCKRHp4lhRck0XOC7YbzAnN1h39OxM/edit?usp=drivesdk" TargetMode="External"/><Relationship Id="rId154" Type="http://schemas.openxmlformats.org/officeDocument/2006/relationships/hyperlink" Target="https://docs.google.com/document/d/17B8c8R6Uc_hwFt9Zmiy2tYdySJVPoGwd4ZffGAOR5QE/edit?usp=drivesdk" TargetMode="External"/><Relationship Id="rId58" Type="http://schemas.openxmlformats.org/officeDocument/2006/relationships/hyperlink" Target="https://docs.google.com/document/d/1gxEuAwuTIf14FbCQUdXUASbbW9XN7JPZ64pnqADF2hQ/edit?usp=drivesdk" TargetMode="External"/><Relationship Id="rId153" Type="http://schemas.openxmlformats.org/officeDocument/2006/relationships/hyperlink" Target="https://docs.google.com/document/d/1uwhPxuFzH1Amvj4wnkUwFHPOzD3BUaxVrNLv1-_EkVA/edit?usp=drivesdk" TargetMode="External"/><Relationship Id="rId152" Type="http://schemas.openxmlformats.org/officeDocument/2006/relationships/hyperlink" Target="https://docs.google.com/document/d/1CIDGfEI17YfcbJ87w_A20jV77rGisOSflxOmC5wn2A0/edit?usp=drivesdk" TargetMode="External"/><Relationship Id="rId151" Type="http://schemas.openxmlformats.org/officeDocument/2006/relationships/hyperlink" Target="https://docs.google.com/document/d/1hW6bluEXq5_2zvXcVntWYiK8HyYx3QPBbPki_6F7QLc/edit?usp=drivesdk" TargetMode="External"/><Relationship Id="rId158" Type="http://schemas.openxmlformats.org/officeDocument/2006/relationships/hyperlink" Target="https://docs.google.com/document/d/1zHwAASBTwfA6FIom3UUM4m2Mv9FbKySgzFzafJDlK0o/edit?usp=drivesdk" TargetMode="External"/><Relationship Id="rId157" Type="http://schemas.openxmlformats.org/officeDocument/2006/relationships/hyperlink" Target="https://docs.google.com/document/d/1NwUuGzvpE_p9dGMR3Q-NLxBGJ-3itDdHe9XfdTbsHS0/edit?usp=drivesdk" TargetMode="External"/><Relationship Id="rId156" Type="http://schemas.openxmlformats.org/officeDocument/2006/relationships/hyperlink" Target="https://docs.google.com/document/d/1_2FarTcW-r9yDFDE-dXiX9g2dA_UAgJjqg3IgxURU8I/edit?usp=drivesdk" TargetMode="External"/><Relationship Id="rId155" Type="http://schemas.openxmlformats.org/officeDocument/2006/relationships/hyperlink" Target="https://docs.google.com/document/d/1tSxckeYTnEDN9G86RC7m1pcKwKjVyie6OymuFwHchc8/edit?usp=drivesdk" TargetMode="External"/><Relationship Id="rId107" Type="http://schemas.openxmlformats.org/officeDocument/2006/relationships/hyperlink" Target="https://docs.google.com/document/d/1bipTZDHc1rN5E8SusA79E_-QpAv7YnG621YzHGRQJ7I/edit?usp=drivesdk" TargetMode="External"/><Relationship Id="rId106" Type="http://schemas.openxmlformats.org/officeDocument/2006/relationships/hyperlink" Target="https://docs.google.com/document/d/1pDkx5IywVF_6vpREL1d3JotGZKpMm7xyEaD4sGKLRxg/edit?usp=drivesdk" TargetMode="External"/><Relationship Id="rId105" Type="http://schemas.openxmlformats.org/officeDocument/2006/relationships/hyperlink" Target="https://docs.google.com/document/d/1tRUNVG3lul0IQ-KxbGC2f2QpKnguYy4ZMQAxc4sKRPg/edit?usp=drivesdk" TargetMode="External"/><Relationship Id="rId104" Type="http://schemas.openxmlformats.org/officeDocument/2006/relationships/hyperlink" Target="https://docs.google.com/document/d/13OW_sqLG4z8weY4C0fnlpiW8-_ivzXq66tSwX_RGMRA/edit?usp=drivesdk" TargetMode="External"/><Relationship Id="rId109" Type="http://schemas.openxmlformats.org/officeDocument/2006/relationships/hyperlink" Target="https://docs.google.com/document/d/1KEy_tOvAEs049WMGPwLEzjs8w36WxcEA02f-YjZ0ufg/edit?usp=drivesdk" TargetMode="External"/><Relationship Id="rId108" Type="http://schemas.openxmlformats.org/officeDocument/2006/relationships/hyperlink" Target="https://docs.google.com/document/d/16phdT5FVVzIKtfEOkvjfpOVrSfw4bM1mXiLvY78iVg0/edit?usp=drivesdk" TargetMode="External"/><Relationship Id="rId103" Type="http://schemas.openxmlformats.org/officeDocument/2006/relationships/hyperlink" Target="https://docs.google.com/document/d/1gf_kzUWXTGBwUaVHfhYl1LfkfwohIjKbs9C-n-irJfw/edit?usp=drivesdk" TargetMode="External"/><Relationship Id="rId102" Type="http://schemas.openxmlformats.org/officeDocument/2006/relationships/hyperlink" Target="https://docs.google.com/document/d/1yjhsMfCtW6M5i5-PhFm4lS-DZEX_cb9_NwvAHeN_HUk/edit?usp=drivesdk" TargetMode="External"/><Relationship Id="rId101" Type="http://schemas.openxmlformats.org/officeDocument/2006/relationships/hyperlink" Target="https://docs.google.com/document/d/18ogF5-cBZ0UYrM4h4NOndo7LvlP4QeR6IPLVGVCv_Dk/edit?usp=drivesdk" TargetMode="External"/><Relationship Id="rId100" Type="http://schemas.openxmlformats.org/officeDocument/2006/relationships/hyperlink" Target="https://docs.google.com/document/d/1MqQYHbbNCBKScI2f4PfWffXwsYZ2dqjHfVhFV8rlzCY/edit?usp=drivesdk" TargetMode="External"/><Relationship Id="rId129" Type="http://schemas.openxmlformats.org/officeDocument/2006/relationships/hyperlink" Target="https://docs.google.com/document/d/1PZkzcGake89L0HlUXqKwOjEk2h0JCCHkTHBNHilVH0I/edit?usp=drivesdk" TargetMode="External"/><Relationship Id="rId128" Type="http://schemas.openxmlformats.org/officeDocument/2006/relationships/hyperlink" Target="https://docs.google.com/document/d/1Z5sKGWqAqtLEcmwF1eoR59P--wpQNn2d36OFPW2Xr4s/edit?usp=drivesdk" TargetMode="External"/><Relationship Id="rId127" Type="http://schemas.openxmlformats.org/officeDocument/2006/relationships/hyperlink" Target="https://docs.google.com/document/d/18F0wP9ThLPgW1CdtLaJ2w_ufAg1Ss6IFlEXLtVfD3L8/edit?usp=drivesdk" TargetMode="External"/><Relationship Id="rId126" Type="http://schemas.openxmlformats.org/officeDocument/2006/relationships/hyperlink" Target="https://docs.google.com/document/d/1LJdD_q83rygbHy3uyIEWtVkPzEt_HDsczMt4-_66z4M/edit?usp=drivesdk" TargetMode="External"/><Relationship Id="rId121" Type="http://schemas.openxmlformats.org/officeDocument/2006/relationships/hyperlink" Target="https://docs.google.com/document/d/1NxJNztIvFVLpI4qkn611kc07zBFDt6YVIQi3EwDqkwc/edit?usp=drivesdk" TargetMode="External"/><Relationship Id="rId120" Type="http://schemas.openxmlformats.org/officeDocument/2006/relationships/hyperlink" Target="https://docs.google.com/document/d/10najp0HbWgXO6OOPGdAOI7TRORsft6sTrjRSUjtHGg8/edit?usp=drivesdk" TargetMode="External"/><Relationship Id="rId125" Type="http://schemas.openxmlformats.org/officeDocument/2006/relationships/hyperlink" Target="https://docs.google.com/document/d/1M0yxv8VvRXShmAxz4Xv70yuvF3y_XlsQb9spBXqMXgo/edit?usp=drivesdk" TargetMode="External"/><Relationship Id="rId124" Type="http://schemas.openxmlformats.org/officeDocument/2006/relationships/hyperlink" Target="https://docs.google.com/document/d/18zoDjtdh6xTs8kxSjPjKI20PwcOv2Fyt1EG1-_wEu7c/edit?usp=drivesdk" TargetMode="External"/><Relationship Id="rId123" Type="http://schemas.openxmlformats.org/officeDocument/2006/relationships/hyperlink" Target="https://docs.google.com/document/d/1IQUnF8aOINffcyIDteks5d0lq_nQYCwWtHTYjZnJJN0/edit?usp=drivesdk" TargetMode="External"/><Relationship Id="rId122" Type="http://schemas.openxmlformats.org/officeDocument/2006/relationships/hyperlink" Target="https://docs.google.com/document/d/1lsdRASb0NCcGkT-GyPc0MH6Oo845lLoWmwZ44-Y6dBw/edit?usp=drivesdk" TargetMode="External"/><Relationship Id="rId95" Type="http://schemas.openxmlformats.org/officeDocument/2006/relationships/hyperlink" Target="https://docs.google.com/document/d/1Q547wnb1tC6ebIcT7XPMDB5N_lp-gTys4cuiMSfdoK0/edit?usp=drivesdk" TargetMode="External"/><Relationship Id="rId94" Type="http://schemas.openxmlformats.org/officeDocument/2006/relationships/hyperlink" Target="https://docs.google.com/document/d/1CujR-SGIfu-DhSbu6290XgJnIiVIFq-u4Jsxv2uGkOU/edit?usp=drivesdk" TargetMode="External"/><Relationship Id="rId97" Type="http://schemas.openxmlformats.org/officeDocument/2006/relationships/hyperlink" Target="https://docs.google.com/document/d/1OAnc4B1cg2YCvhzsbEGljoJnkOJ8OnrHuewpKXuLIkM/edit?usp=drivesdk" TargetMode="External"/><Relationship Id="rId96" Type="http://schemas.openxmlformats.org/officeDocument/2006/relationships/hyperlink" Target="https://docs.google.com/document/d/1XrziZ8Hols6CkssEt6ONgneh-x1-VmlWUFgDvtROxtU/edit?usp=drivesdk" TargetMode="External"/><Relationship Id="rId99" Type="http://schemas.openxmlformats.org/officeDocument/2006/relationships/hyperlink" Target="https://docs.google.com/document/d/1mrwigsWQNPJXJuewk_EK0hYxiHd7XoxLpNQ8KNGjolA/edit?usp=drivesdk" TargetMode="External"/><Relationship Id="rId98" Type="http://schemas.openxmlformats.org/officeDocument/2006/relationships/hyperlink" Target="https://docs.google.com/document/d/195TANQZmaKupU6B06nhilw_m_hOoZDw_fzAEEob1zIs/edit?usp=drivesdk" TargetMode="External"/><Relationship Id="rId91" Type="http://schemas.openxmlformats.org/officeDocument/2006/relationships/hyperlink" Target="https://docs.google.com/document/d/1NjMVwZwLgzFfe3rWfR1SF08yhwRvmEtzvURklluT0Y0/edit?usp=drivesdk" TargetMode="External"/><Relationship Id="rId90" Type="http://schemas.openxmlformats.org/officeDocument/2006/relationships/hyperlink" Target="https://docs.google.com/document/d/13E5BJkoFDPhKCd1y3vdFOJNaPw1dlbchL6Gs8DZ8yNA/edit?usp=drivesdk" TargetMode="External"/><Relationship Id="rId93" Type="http://schemas.openxmlformats.org/officeDocument/2006/relationships/hyperlink" Target="https://docs.google.com/document/d/1-X5U7WYJd9KIgO42NpNdNA5cmwfk4v8bZwWpf8DAmvw/edit?usp=drivesdk" TargetMode="External"/><Relationship Id="rId92" Type="http://schemas.openxmlformats.org/officeDocument/2006/relationships/hyperlink" Target="https://docs.google.com/document/d/1AhsctXSjGdGkynPxTQiuBszktnP42OZFFzz2mDmeFQY/edit?usp=drivesdk" TargetMode="External"/><Relationship Id="rId118" Type="http://schemas.openxmlformats.org/officeDocument/2006/relationships/hyperlink" Target="https://docs.google.com/document/d/1bEf54sHAB2kjwfPFeiZSE4BcTrZOFuiW3Bq15DRuV7I/edit?usp=drivesdk" TargetMode="External"/><Relationship Id="rId117" Type="http://schemas.openxmlformats.org/officeDocument/2006/relationships/hyperlink" Target="https://docs.google.com/document/d/1WtUYz1I1yWGxZjqzWc-bInbNco3PsTd_4uayvWa09GU/edit?usp=drivesdk" TargetMode="External"/><Relationship Id="rId116" Type="http://schemas.openxmlformats.org/officeDocument/2006/relationships/hyperlink" Target="https://docs.google.com/document/d/1ck1phjzq86oXI_XN126Oczlsxasf24NfzG1MzuzsgP4/edit?usp=drivesdk" TargetMode="External"/><Relationship Id="rId115" Type="http://schemas.openxmlformats.org/officeDocument/2006/relationships/hyperlink" Target="https://docs.google.com/document/d/1fUFCtT4fLjJpArRpNdGN7HYvAKgpqXnWTz4YB-hAbh0/edit?usp=drivesdk" TargetMode="External"/><Relationship Id="rId119" Type="http://schemas.openxmlformats.org/officeDocument/2006/relationships/hyperlink" Target="https://docs.google.com/document/d/1tq8sP3jEAsNnBeJFTvg9xTreVj6zCk8isda6Jhq2iXA/edit?usp=drivesdk" TargetMode="External"/><Relationship Id="rId110" Type="http://schemas.openxmlformats.org/officeDocument/2006/relationships/hyperlink" Target="https://docs.google.com/document/d/16w6ey4cDZzuClBQLNjKolIcHvvhkmSwhDPJIHAdo7TY/edit?usp=drivesdk" TargetMode="External"/><Relationship Id="rId114" Type="http://schemas.openxmlformats.org/officeDocument/2006/relationships/hyperlink" Target="https://docs.google.com/document/d/1mk9KoAnJDYRixr_-4qa0SZ0U0_1n8l1vGFC9juPwasA/edit?usp=drivesdk" TargetMode="External"/><Relationship Id="rId113" Type="http://schemas.openxmlformats.org/officeDocument/2006/relationships/hyperlink" Target="https://docs.google.com/document/d/1nxi9myChVWq56vQ3hBEMlKjKAZYldggXCDWMFb-W-2k/edit?usp=drivesdk" TargetMode="External"/><Relationship Id="rId112" Type="http://schemas.openxmlformats.org/officeDocument/2006/relationships/hyperlink" Target="https://docs.google.com/document/d/1EMD97_wbTRyJEF1BtMZViGtP-cuEkd24bcsQCWF2sO4/edit?usp=drivesdk" TargetMode="External"/><Relationship Id="rId111" Type="http://schemas.openxmlformats.org/officeDocument/2006/relationships/hyperlink" Target="https://docs.google.com/document/d/1s6au5jiR9XuZmRf2gunbZABRHgw_omehOuGeb9f4FKc/edit?usp=drivesdk" TargetMode="External"/><Relationship Id="rId202" Type="http://schemas.openxmlformats.org/officeDocument/2006/relationships/drawing" Target="../drawings/drawing3.xml"/><Relationship Id="rId201" Type="http://schemas.openxmlformats.org/officeDocument/2006/relationships/hyperlink" Target="https://docs.google.com/document/d/1T6b6vaQtoyYVovtV6XKX1RWpzv8lZn3ARyKMTcCth9I/edit?usp=drivesdk" TargetMode="External"/><Relationship Id="rId200" Type="http://schemas.openxmlformats.org/officeDocument/2006/relationships/hyperlink" Target="https://docs.google.com/document/d/1036FhlikoJyH7aT6vN6TtUsESmqIDdl81ZljDe44IU4/edit?usp=drivesd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oGMcZaa_BpTCvR4_DZiW5QU0y8IawBhGau0x1GmV1Tk/edit?usp=drivesdk" TargetMode="External"/><Relationship Id="rId42" Type="http://schemas.openxmlformats.org/officeDocument/2006/relationships/hyperlink" Target="https://docs.google.com/document/d/1XdYRVQhQQel3i65jzNF5VTpPOOwKpa8WVpzYvh_4ApA/edit?usp=drivesdk" TargetMode="External"/><Relationship Id="rId41" Type="http://schemas.openxmlformats.org/officeDocument/2006/relationships/hyperlink" Target="https://docs.google.com/document/d/1y6pR-Te3zqYjEYruW5ekl1WRhxUQn4v2nAOTtd2mx2s/edit?usp=drivesdk" TargetMode="External"/><Relationship Id="rId44" Type="http://schemas.openxmlformats.org/officeDocument/2006/relationships/hyperlink" Target="https://docs.google.com/document/d/1CObDB-6SJCB4MJHgAbYDYqJTJu83vXYbeqBaJ6Hu5zY/edit?usp=drivesdk" TargetMode="External"/><Relationship Id="rId43" Type="http://schemas.openxmlformats.org/officeDocument/2006/relationships/hyperlink" Target="https://docs.google.com/document/d/1Qf-9wZX8Ut0DuKClGmnGyml0sZpZmEFYlY-X_PjKPII/edit?usp=drivesdk" TargetMode="External"/><Relationship Id="rId46" Type="http://schemas.openxmlformats.org/officeDocument/2006/relationships/hyperlink" Target="https://docs.google.com/document/d/1-7uCqbydrmlr1LMXillv-BJwWrFo-eI3h5PajEvFmqM/edit?usp=drivesdk" TargetMode="External"/><Relationship Id="rId45" Type="http://schemas.openxmlformats.org/officeDocument/2006/relationships/hyperlink" Target="https://docs.google.com/document/d/1-RJn93R1r_vH9iXOUlq612rJHFe0O20mNx1p55q3OMo/edit?usp=drivesdk" TargetMode="External"/><Relationship Id="rId48" Type="http://schemas.openxmlformats.org/officeDocument/2006/relationships/hyperlink" Target="https://docs.google.com/document/d/1SdZYLkUTCXBhbyJ5hwmKWMPx74YcBmhc3nEWHFfPoaM/edit?usp=drivesdk" TargetMode="External"/><Relationship Id="rId47" Type="http://schemas.openxmlformats.org/officeDocument/2006/relationships/hyperlink" Target="https://docs.google.com/document/d/1U3Z30MMA59oUamHG7A9mIJ4ofW5uoxDqeAyraAUMz0o/edit?usp=drivesdk" TargetMode="External"/><Relationship Id="rId49" Type="http://schemas.openxmlformats.org/officeDocument/2006/relationships/hyperlink" Target="https://docs.google.com/document/d/1DTMLU1CL-X-WiOXf57UN9mt_ZTosFQclQEvUaJiRC9M/edit?usp=drivesdk" TargetMode="External"/><Relationship Id="rId31" Type="http://schemas.openxmlformats.org/officeDocument/2006/relationships/hyperlink" Target="https://docs.google.com/document/d/1SH21TLrZMzeILsBKvddFseTEXJ7fXm8hvlB5n7BgYhM/edit?usp=drivesdk" TargetMode="External"/><Relationship Id="rId30" Type="http://schemas.openxmlformats.org/officeDocument/2006/relationships/hyperlink" Target="https://docs.google.com/document/d/1yBmxsjnSJvf_LTJPl9TwnJqv73r24hD1TFn1OprvmVE/edit?usp=drivesdk" TargetMode="External"/><Relationship Id="rId33" Type="http://schemas.openxmlformats.org/officeDocument/2006/relationships/hyperlink" Target="https://docs.google.com/document/d/1WvxfuwYt3AE98Q9XSIBpj9RZ4vnUEGgePTIFWu5ALRk/edit?usp=drivesdk" TargetMode="External"/><Relationship Id="rId32" Type="http://schemas.openxmlformats.org/officeDocument/2006/relationships/hyperlink" Target="https://docs.google.com/document/d/121r3kw9togibG8_f-CevjxAOBkgOecEr58vuCn4klq8/edit?usp=drivesdk" TargetMode="External"/><Relationship Id="rId35" Type="http://schemas.openxmlformats.org/officeDocument/2006/relationships/hyperlink" Target="https://docs.google.com/document/d/1_yJ8R-yfansfmGJkIiZUlMYzGk_reE_H0Vum3ecy-Ac/edit?usp=drivesdk" TargetMode="External"/><Relationship Id="rId34" Type="http://schemas.openxmlformats.org/officeDocument/2006/relationships/hyperlink" Target="https://docs.google.com/document/d/1T-ZAxzFjchFwSOAkS5KPP1rZLmDy6LyUCrBpjyYUndI/edit?usp=drivesdk" TargetMode="External"/><Relationship Id="rId37" Type="http://schemas.openxmlformats.org/officeDocument/2006/relationships/hyperlink" Target="https://docs.google.com/document/d/1zBZKItxpMSHOKqH84KUxQY1dSXiU9NFBF8BBV4K76Co/edit?usp=drivesdk" TargetMode="External"/><Relationship Id="rId36" Type="http://schemas.openxmlformats.org/officeDocument/2006/relationships/hyperlink" Target="https://docs.google.com/document/d/19_GWMQUrq2cKivMkAxyA_NJGNzEvX04dQU3260i5vf0/edit?usp=drivesdk" TargetMode="External"/><Relationship Id="rId39" Type="http://schemas.openxmlformats.org/officeDocument/2006/relationships/hyperlink" Target="https://docs.google.com/document/d/1h9hU32fvHWk15_8Ldy4mBssOMzJV7D1YNs6YQoDbQhM/edit?usp=drivesdk" TargetMode="External"/><Relationship Id="rId38" Type="http://schemas.openxmlformats.org/officeDocument/2006/relationships/hyperlink" Target="https://docs.google.com/document/d/1bDDZq7hcFlMBce-O6flPwqbG9xM6AkOhTUuiH3oKzqQ/edit?usp=drivesdk" TargetMode="External"/><Relationship Id="rId20" Type="http://schemas.openxmlformats.org/officeDocument/2006/relationships/hyperlink" Target="https://docs.google.com/document/d/15ZozDS8U8hCXSjxMx76ZMMaFMIYSa4b7jwMWxzfOKeg/edit?usp=drivesdk" TargetMode="External"/><Relationship Id="rId22" Type="http://schemas.openxmlformats.org/officeDocument/2006/relationships/hyperlink" Target="https://docs.google.com/document/d/139Y1KEkj9_MS9aJwGZ-vzhhJmf-yT_hHaIjP1qrXbDs/edit?usp=drivesdk" TargetMode="External"/><Relationship Id="rId21" Type="http://schemas.openxmlformats.org/officeDocument/2006/relationships/hyperlink" Target="https://docs.google.com/document/d/1hrdwd44GVUqN59AU0pIpFZfikMzTtMq3msIMnOFwXKg/edit?usp=drivesdk" TargetMode="External"/><Relationship Id="rId24" Type="http://schemas.openxmlformats.org/officeDocument/2006/relationships/hyperlink" Target="https://docs.google.com/document/d/16ZTZ_FExKHXTSsw8kIa_hMwIvrPkpwYH6k_oMBzRs1k/edit?usp=drivesdk" TargetMode="External"/><Relationship Id="rId23" Type="http://schemas.openxmlformats.org/officeDocument/2006/relationships/hyperlink" Target="https://docs.google.com/document/d/1khNPWiQvKluJssbGEcN7fIlqxSsmR47iC6KNJomTMpA/edit?usp=drivesdk" TargetMode="External"/><Relationship Id="rId26" Type="http://schemas.openxmlformats.org/officeDocument/2006/relationships/hyperlink" Target="https://docs.google.com/document/d/1n9zOTxxC30W9xNesVzGZzlpVyJidreE0kNCXDejFyoI/edit?usp=drivesdk" TargetMode="External"/><Relationship Id="rId25" Type="http://schemas.openxmlformats.org/officeDocument/2006/relationships/hyperlink" Target="https://docs.google.com/document/d/1YpRGrmOpL96GFHYt0VLqaSp7X63ronh7NETuOGFDikQ/edit?usp=drivesdk" TargetMode="External"/><Relationship Id="rId28" Type="http://schemas.openxmlformats.org/officeDocument/2006/relationships/hyperlink" Target="https://docs.google.com/document/d/1iUqeKSmTcQGI7Zu9qsufAURe1W9Ls3o6lJkxZ77zlhE/edit?usp=drivesdk" TargetMode="External"/><Relationship Id="rId27" Type="http://schemas.openxmlformats.org/officeDocument/2006/relationships/hyperlink" Target="https://docs.google.com/document/d/1N1J-1-SVBvIm0Oy8aVGVfUQlUB7zjXMjEr4rYmdnjBI/edit?usp=drivesdk" TargetMode="External"/><Relationship Id="rId29" Type="http://schemas.openxmlformats.org/officeDocument/2006/relationships/hyperlink" Target="https://docs.google.com/document/d/1QBJlaYoGxIhtEZvw3Ff2Lpu1cXubsmacNn6H9mXwYso/edit?usp=drivesdk" TargetMode="External"/><Relationship Id="rId11" Type="http://schemas.openxmlformats.org/officeDocument/2006/relationships/hyperlink" Target="https://docs.google.com/document/d/1OFCqy7k7sB4NyqK5LFS_Ht6MzcQ1BD6BPYSNRCwWLgg/edit?usp=drivesdk" TargetMode="External"/><Relationship Id="rId10" Type="http://schemas.openxmlformats.org/officeDocument/2006/relationships/hyperlink" Target="https://docs.google.com/document/d/1jiQLW1FVFFdYXfoukKPdkhUCbn3QpQtlPTZoNcZT1DM/edit?usp=drivesdk" TargetMode="External"/><Relationship Id="rId13" Type="http://schemas.openxmlformats.org/officeDocument/2006/relationships/hyperlink" Target="https://docs.google.com/document/d/1na7mVTSrjcuuAiRmUjBKF3FVGe9ZymwejwWNFtlWHj8/edit?usp=drivesdk" TargetMode="External"/><Relationship Id="rId12" Type="http://schemas.openxmlformats.org/officeDocument/2006/relationships/hyperlink" Target="https://docs.google.com/document/d/1mIK-t3q-fbqaDO7omqkWG0e0IWhRnpXCEtjPZ-vTV60/edit?usp=drivesdk" TargetMode="External"/><Relationship Id="rId15" Type="http://schemas.openxmlformats.org/officeDocument/2006/relationships/hyperlink" Target="https://docs.google.com/document/d/1g6f0Fleo71ubbFct6b93VsKEJPv4MdWjftTZ5Ju4yrE/edit?usp=drivesdk" TargetMode="External"/><Relationship Id="rId14" Type="http://schemas.openxmlformats.org/officeDocument/2006/relationships/hyperlink" Target="https://docs.google.com/document/d/156CiVQphuL62q9RHyyGXMcXGZlA-ZG2k6ESL1MdIAqQ/edit?usp=drivesdk" TargetMode="External"/><Relationship Id="rId17" Type="http://schemas.openxmlformats.org/officeDocument/2006/relationships/hyperlink" Target="https://docs.google.com/document/d/1uiRAD0qEbPaiU0D8g8m8HJhpNgvsmrEXnswOhgii8qM/edit?usp=drivesdk" TargetMode="External"/><Relationship Id="rId16" Type="http://schemas.openxmlformats.org/officeDocument/2006/relationships/hyperlink" Target="https://docs.google.com/document/d/1hjYLd-p9qGuA5a1QvvPmotAm_nfTie3INSouSuL3-WU/edit?usp=drivesdk" TargetMode="External"/><Relationship Id="rId19" Type="http://schemas.openxmlformats.org/officeDocument/2006/relationships/hyperlink" Target="https://docs.google.com/document/d/1jsfMK_BxmN9V1wnFMGdBGRQ-Ihy21ZcFgYu850tZ8Fg/edit?usp=drivesdk" TargetMode="External"/><Relationship Id="rId18" Type="http://schemas.openxmlformats.org/officeDocument/2006/relationships/hyperlink" Target="https://docs.google.com/document/d/1suWvq__jrV2lKnZwAqC_-rQjULoHXd23sxgFKH_HMWM/edit?usp=drivesdk" TargetMode="External"/><Relationship Id="rId84" Type="http://schemas.openxmlformats.org/officeDocument/2006/relationships/hyperlink" Target="https://docs.google.com/document/d/1UPNsl-e9I2oZ5HcBSXlBEzmikAqdlNUV3EE0lycwPAQ/edit?usp=drivesdk" TargetMode="External"/><Relationship Id="rId83" Type="http://schemas.openxmlformats.org/officeDocument/2006/relationships/hyperlink" Target="https://docs.google.com/document/d/1a1J4VvClJsk4dVaP0AU6Dl0GsTSf3Ezxuo9izamxilQ/edit?usp=drivesdk" TargetMode="External"/><Relationship Id="rId86" Type="http://schemas.openxmlformats.org/officeDocument/2006/relationships/hyperlink" Target="https://docs.google.com/document/d/12IvIddIDsJ66GeT9mjzz4-sRDH4ngiEN0jq2qqV6Da0/edit?usp=drivesdk" TargetMode="External"/><Relationship Id="rId85" Type="http://schemas.openxmlformats.org/officeDocument/2006/relationships/hyperlink" Target="https://docs.google.com/document/d/16xSZxsZyMvI30LstEk1fyFviQZyQrLN9qMOrFjCD1iI/edit?usp=drivesdk" TargetMode="External"/><Relationship Id="rId88" Type="http://schemas.openxmlformats.org/officeDocument/2006/relationships/hyperlink" Target="https://docs.google.com/document/d/1h2cMUuTANE02RTzwFqOqmOWPuK7Mr3_j3Ad-RnBo0Og/edit?usp=drivesdk" TargetMode="External"/><Relationship Id="rId150" Type="http://schemas.openxmlformats.org/officeDocument/2006/relationships/hyperlink" Target="https://docs.google.com/document/d/1YYc93KEXYyRJaIAI7pYy42rugj-w3xziZYS4JrjeRoI/edit?usp=drivesdk" TargetMode="External"/><Relationship Id="rId87" Type="http://schemas.openxmlformats.org/officeDocument/2006/relationships/hyperlink" Target="https://docs.google.com/document/d/15buE67Dk0qxIqlwbfm4FUIUMsq_2-iWpig3FnFJyDqI/edit?usp=drivesdk" TargetMode="External"/><Relationship Id="rId89" Type="http://schemas.openxmlformats.org/officeDocument/2006/relationships/hyperlink" Target="https://docs.google.com/document/d/1zhx306jTooCIZZhjVrfrpRWuCvVkS5KjSDq6Hw72AF8/edit?usp=drivesdk" TargetMode="External"/><Relationship Id="rId80" Type="http://schemas.openxmlformats.org/officeDocument/2006/relationships/hyperlink" Target="https://docs.google.com/document/d/18nlxXtBV7fdIIc4IIHXVZIbizKgz8VQeSZIunKvZht8/edit?usp=drivesdk" TargetMode="External"/><Relationship Id="rId82" Type="http://schemas.openxmlformats.org/officeDocument/2006/relationships/hyperlink" Target="https://docs.google.com/document/d/1MdjHmZzEczF0YmXnmwqYNbaJsMivI7ycGWxqkX3ZJvw/edit?usp=drivesdk" TargetMode="External"/><Relationship Id="rId81" Type="http://schemas.openxmlformats.org/officeDocument/2006/relationships/hyperlink" Target="https://docs.google.com/document/d/1Rll-3afFYrMkZ1JkvdVsYILvpmw44m65fVADZjMXszg/edit?usp=drivesdk" TargetMode="External"/><Relationship Id="rId1" Type="http://schemas.openxmlformats.org/officeDocument/2006/relationships/hyperlink" Target="https://docs.google.com/document/d/1otCwW6U7WOxjIt1iekX4dTkaIw_wSaHbLb3-PaEfTzY/edit?usp=drivesdk" TargetMode="External"/><Relationship Id="rId2" Type="http://schemas.openxmlformats.org/officeDocument/2006/relationships/hyperlink" Target="https://docs.google.com/document/d/1x02S6m0AgSWpFoi-F3aNPzwrJu_ReIGObU6XdgebGNg/edit?usp=drivesdk" TargetMode="External"/><Relationship Id="rId3" Type="http://schemas.openxmlformats.org/officeDocument/2006/relationships/hyperlink" Target="https://docs.google.com/document/d/15qAHMnzjUAuCOzKv2ayxZqASmwieFveuBTzu_BByMHY/edit?usp=drivesdk" TargetMode="External"/><Relationship Id="rId149" Type="http://schemas.openxmlformats.org/officeDocument/2006/relationships/hyperlink" Target="https://docs.google.com/document/d/1gJ9VnxF96Uw9_SiusNbM7wbz9okrkElfVi3E7rpXXf0/edit?usp=drivesdk" TargetMode="External"/><Relationship Id="rId4" Type="http://schemas.openxmlformats.org/officeDocument/2006/relationships/hyperlink" Target="https://docs.google.com/document/d/1wKajGYYjckLYbeL9liqzffa-Hdzp-_kkAk5EUOqDdFY/edit?usp=drivesdk" TargetMode="External"/><Relationship Id="rId148" Type="http://schemas.openxmlformats.org/officeDocument/2006/relationships/hyperlink" Target="https://docs.google.com/document/d/1lPfRtQajYtHbCBbCgX2Gr-LfpoNMnUnLiSEVbVJyVxw/edit?usp=drivesdk" TargetMode="External"/><Relationship Id="rId9" Type="http://schemas.openxmlformats.org/officeDocument/2006/relationships/hyperlink" Target="https://docs.google.com/document/d/12O738-w6ZQvSIeia4Z9Bp1Tlgp-ahZ2uigYb8SunEQY/edit?usp=drivesdk" TargetMode="External"/><Relationship Id="rId143" Type="http://schemas.openxmlformats.org/officeDocument/2006/relationships/hyperlink" Target="https://docs.google.com/document/d/1oOQPoEql03iFiIMPkApcWPbx5bHDtw9MoBrn0Y46s_U/edit?usp=drivesdk" TargetMode="External"/><Relationship Id="rId142" Type="http://schemas.openxmlformats.org/officeDocument/2006/relationships/hyperlink" Target="https://docs.google.com/document/d/1xyGUsIMOxsmzuN3CBZNby3-fbO-79FgajkDEO2yfLSU/edit?usp=drivesdk" TargetMode="External"/><Relationship Id="rId141" Type="http://schemas.openxmlformats.org/officeDocument/2006/relationships/hyperlink" Target="https://docs.google.com/document/d/1T2jsxsrQJOAoAkGaF9wl0ZLEHZK19QGe1_9WzKXq498/edit?usp=drivesdk" TargetMode="External"/><Relationship Id="rId140" Type="http://schemas.openxmlformats.org/officeDocument/2006/relationships/hyperlink" Target="https://docs.google.com/document/d/1CJ4PqKlLDd2oqL19wugS9Pin1-47xzRqIsJgACKXmcA/edit?usp=drivesdk" TargetMode="External"/><Relationship Id="rId5" Type="http://schemas.openxmlformats.org/officeDocument/2006/relationships/hyperlink" Target="https://docs.google.com/document/d/1xYPcgJxpVFiLI3UxkuQChSPQSJeC7W90GwDuKHUeEUg/edit?usp=drivesdk" TargetMode="External"/><Relationship Id="rId147" Type="http://schemas.openxmlformats.org/officeDocument/2006/relationships/hyperlink" Target="https://docs.google.com/document/d/1SSb7mURZiyRL2H9Q21Ci7fpVievuMu4gl-oSuRqVclQ/edit?usp=drivesdk" TargetMode="External"/><Relationship Id="rId6" Type="http://schemas.openxmlformats.org/officeDocument/2006/relationships/hyperlink" Target="https://docs.google.com/document/d/1g8Fq-fHIVtqZ5geF6tjdtCS3HVBhDz7TwHBKXZCg9Qk/edit?usp=drivesdk" TargetMode="External"/><Relationship Id="rId146" Type="http://schemas.openxmlformats.org/officeDocument/2006/relationships/hyperlink" Target="https://docs.google.com/document/d/1mDRQZcamYJTVX59ufH_g4IH9QI-s-rNQE0ZMpNYRC_g/edit?usp=drivesdk" TargetMode="External"/><Relationship Id="rId7" Type="http://schemas.openxmlformats.org/officeDocument/2006/relationships/hyperlink" Target="https://docs.google.com/document/d/15PAITlN-1rXGdKppJSSZUFrp9Ht4nBeUYC2qKR2tGKk/edit?usp=drivesdk" TargetMode="External"/><Relationship Id="rId145" Type="http://schemas.openxmlformats.org/officeDocument/2006/relationships/hyperlink" Target="https://docs.google.com/document/d/1YcqKgv1ACCps-kEM5Ayjuqkjm6Lwj5HkGpZA2stcvXk/edit?usp=drivesdk" TargetMode="External"/><Relationship Id="rId8" Type="http://schemas.openxmlformats.org/officeDocument/2006/relationships/hyperlink" Target="https://docs.google.com/document/d/187j9VC8y49p7Vn7ykan37dRhJXCXMXl_XZVyretJlP4/edit?usp=drivesdk" TargetMode="External"/><Relationship Id="rId144" Type="http://schemas.openxmlformats.org/officeDocument/2006/relationships/hyperlink" Target="https://docs.google.com/document/d/1tzjsRTU-Ej0KlqVdPmSl6hxaUy2BMOnToj8jTyBUpao/edit?usp=drivesdk" TargetMode="External"/><Relationship Id="rId73" Type="http://schemas.openxmlformats.org/officeDocument/2006/relationships/hyperlink" Target="https://docs.google.com/document/d/1lePH9zm3EbSustMVWQxpqo56yWP-PFjBZpx9DjI_VMc/edit?usp=drivesdk" TargetMode="External"/><Relationship Id="rId72" Type="http://schemas.openxmlformats.org/officeDocument/2006/relationships/hyperlink" Target="https://docs.google.com/document/d/1pfHq7JifAvXC-7nHDJZ_0mEE0dln-4Ydt_gMYfQzS0s/edit?usp=drivesdk" TargetMode="External"/><Relationship Id="rId75" Type="http://schemas.openxmlformats.org/officeDocument/2006/relationships/hyperlink" Target="https://docs.google.com/document/d/1nCN_3Xifx8ttnEdr-Diux1OIJPTohsz2xjLSRXq8wRs/edit?usp=drivesdk" TargetMode="External"/><Relationship Id="rId74" Type="http://schemas.openxmlformats.org/officeDocument/2006/relationships/hyperlink" Target="https://docs.google.com/document/d/1t3qZOsrSVOQeumQHKwr3ORnRtJh9VDT3XVL2gyiCv1I/edit?usp=drivesdk" TargetMode="External"/><Relationship Id="rId77" Type="http://schemas.openxmlformats.org/officeDocument/2006/relationships/hyperlink" Target="https://docs.google.com/document/d/1uq5oh14d-9Gpr9Glpg6JZabMCr9A8zPYcSUxblDZSHA/edit?usp=drivesdk" TargetMode="External"/><Relationship Id="rId76" Type="http://schemas.openxmlformats.org/officeDocument/2006/relationships/hyperlink" Target="https://docs.google.com/document/d/10WCQ2FnX6x9P3davI13zrlsWpYFLdlgWyfnsa0PvyiY/edit?usp=drivesdk" TargetMode="External"/><Relationship Id="rId79" Type="http://schemas.openxmlformats.org/officeDocument/2006/relationships/hyperlink" Target="https://docs.google.com/document/d/1F_GtrEIAitR_8ZW30qW-VRN5J9kQGc3Ut7QH8GmpEHI/edit?usp=drivesdk" TargetMode="External"/><Relationship Id="rId78" Type="http://schemas.openxmlformats.org/officeDocument/2006/relationships/hyperlink" Target="https://docs.google.com/document/d/1Vofygd_1etXQBe4twpe62rxfh1ERe4NcBJfQWScFhko/edit?usp=drivesdk" TargetMode="External"/><Relationship Id="rId71" Type="http://schemas.openxmlformats.org/officeDocument/2006/relationships/hyperlink" Target="https://docs.google.com/document/d/1n4d8-9YJgMcc_X1cksqwwETLHNW6BWok1IRZz0PwSpM/edit?usp=drivesdk" TargetMode="External"/><Relationship Id="rId70" Type="http://schemas.openxmlformats.org/officeDocument/2006/relationships/hyperlink" Target="https://docs.google.com/document/d/1DvNbUMnA1SluKYfSP9RlT_H2Y5xw7X5ylLp4A9OxyUQ/edit?usp=drivesdk" TargetMode="External"/><Relationship Id="rId139" Type="http://schemas.openxmlformats.org/officeDocument/2006/relationships/hyperlink" Target="https://docs.google.com/document/d/1ZtRxAUOyizAwmQk5O06A_6Ro5yzAjCtGIQVImfD-eCo/edit?usp=drivesdk" TargetMode="External"/><Relationship Id="rId138" Type="http://schemas.openxmlformats.org/officeDocument/2006/relationships/hyperlink" Target="https://docs.google.com/document/d/1UBLDz9KjVr4vna-e9KcStUIPB8qFu18LiInTK75E4eA/edit?usp=drivesdk" TargetMode="External"/><Relationship Id="rId137" Type="http://schemas.openxmlformats.org/officeDocument/2006/relationships/hyperlink" Target="https://docs.google.com/document/d/1lewjX8TJ45Ef2NzKLWiuxCTp3u5roRdO9r8MKyZ4QlI/edit?usp=drivesdk" TargetMode="External"/><Relationship Id="rId132" Type="http://schemas.openxmlformats.org/officeDocument/2006/relationships/hyperlink" Target="https://docs.google.com/document/d/1118QpL3fDyas1bl-ftOGCpE7blnXToyaJXcAFzlWvwc/edit?usp=drivesdk" TargetMode="External"/><Relationship Id="rId131" Type="http://schemas.openxmlformats.org/officeDocument/2006/relationships/hyperlink" Target="https://docs.google.com/document/d/1_rTSbLtADbzd9wHzNm2pELkma8oDWe54A-2XJKaQy3w/edit?usp=drivesdk" TargetMode="External"/><Relationship Id="rId130" Type="http://schemas.openxmlformats.org/officeDocument/2006/relationships/hyperlink" Target="https://docs.google.com/document/d/1ukALgo95EZogpgAh4NLsehkQq5n3MdDDa8TFeOesW3c/edit?usp=drivesdk" TargetMode="External"/><Relationship Id="rId136" Type="http://schemas.openxmlformats.org/officeDocument/2006/relationships/hyperlink" Target="https://docs.google.com/document/d/1eiTfC3atmkl4wTri_Jope1EwbX0f1lA8HXomRcJ_Zrw/edit?usp=drivesdk" TargetMode="External"/><Relationship Id="rId135" Type="http://schemas.openxmlformats.org/officeDocument/2006/relationships/hyperlink" Target="https://docs.google.com/document/d/14kLowDOkrSsFFLnWkS_YNKwrrQlohy6YzYsXjQSd_us/edit?usp=drivesdk" TargetMode="External"/><Relationship Id="rId134" Type="http://schemas.openxmlformats.org/officeDocument/2006/relationships/hyperlink" Target="https://docs.google.com/document/d/1RnIZAPYpZJ_MsbO362sMAd2iYAvRbYRQB7NR-CfUzHg/edit?usp=drivesdk" TargetMode="External"/><Relationship Id="rId133" Type="http://schemas.openxmlformats.org/officeDocument/2006/relationships/hyperlink" Target="https://docs.google.com/document/d/1FvCoayj5bIIyqxBeQT5MFGGktA6qgjHqsLeuaUnOjTs/edit?usp=drivesdk" TargetMode="External"/><Relationship Id="rId62" Type="http://schemas.openxmlformats.org/officeDocument/2006/relationships/hyperlink" Target="https://docs.google.com/document/d/1-OjDbcEqcDiZGYGhMOtx5GtkOFM0MowXXOdTIAm0kHM/edit?usp=drivesdk" TargetMode="External"/><Relationship Id="rId61" Type="http://schemas.openxmlformats.org/officeDocument/2006/relationships/hyperlink" Target="https://docs.google.com/document/d/1EEbKvHCM9Yymj_2oXHNCMM4pZ1qRrtOHNfwidCvQn_c/edit?usp=drivesdk" TargetMode="External"/><Relationship Id="rId64" Type="http://schemas.openxmlformats.org/officeDocument/2006/relationships/hyperlink" Target="https://docs.google.com/document/d/1Kla9JvS2gAvIkBYAT7Nrc0zpW93bw2S5JpiK2V5XzpM/edit?usp=drivesdk" TargetMode="External"/><Relationship Id="rId63" Type="http://schemas.openxmlformats.org/officeDocument/2006/relationships/hyperlink" Target="https://docs.google.com/document/d/1pM5BmF0GpDR86wirPYJ287PAYC1lps7a8t8LH5dP2ec/edit?usp=drivesdk" TargetMode="External"/><Relationship Id="rId66" Type="http://schemas.openxmlformats.org/officeDocument/2006/relationships/hyperlink" Target="https://docs.google.com/document/d/1F917horrM2WyXpDuvyHjurQaxpNvIa62FIeQs5iFghM/edit?usp=drivesdk" TargetMode="External"/><Relationship Id="rId65" Type="http://schemas.openxmlformats.org/officeDocument/2006/relationships/hyperlink" Target="https://docs.google.com/document/d/1KdVkrPkogIZsg7tMxnNmh30mk1DFD7OUKUZ7eH-fB0E/edit?usp=drivesdk" TargetMode="External"/><Relationship Id="rId171" Type="http://schemas.openxmlformats.org/officeDocument/2006/relationships/drawing" Target="../drawings/drawing4.xml"/><Relationship Id="rId68" Type="http://schemas.openxmlformats.org/officeDocument/2006/relationships/hyperlink" Target="https://docs.google.com/document/d/1DMNY2SXatjHn8FQvnaRwBq2g_63tyeRzrd9SEkAQz3M/edit?usp=drivesdk" TargetMode="External"/><Relationship Id="rId170" Type="http://schemas.openxmlformats.org/officeDocument/2006/relationships/hyperlink" Target="https://docs.google.com/document/d/1MuzpbZA4nW--o3XuUp03cS0REXHUnPtsXhMn87Ge1xQ/edit?usp=drivesdk" TargetMode="External"/><Relationship Id="rId67" Type="http://schemas.openxmlformats.org/officeDocument/2006/relationships/hyperlink" Target="https://docs.google.com/document/d/15_F6Hq45nnnkdsJ-xTPm27h_Pab1DcbbaetO1EVktig/edit?usp=drivesdk" TargetMode="External"/><Relationship Id="rId60" Type="http://schemas.openxmlformats.org/officeDocument/2006/relationships/hyperlink" Target="https://docs.google.com/document/d/15EoKFWPDDwt6TDJHt2mgOdmJlm1kg87Htr7FSktMHjs/edit?usp=drivesdk" TargetMode="External"/><Relationship Id="rId165" Type="http://schemas.openxmlformats.org/officeDocument/2006/relationships/hyperlink" Target="https://docs.google.com/document/d/1bixhJ4OGo6Fd_KqvSOpDnVIlL0LAmPSPWXmtljPXnVQ/edit?usp=drivesdk" TargetMode="External"/><Relationship Id="rId69" Type="http://schemas.openxmlformats.org/officeDocument/2006/relationships/hyperlink" Target="https://docs.google.com/document/d/10OYTy3q-5QXgGCJc5dm44YbVHWN3kA9OhQ5DADMjZTM/edit?usp=drivesdk" TargetMode="External"/><Relationship Id="rId164" Type="http://schemas.openxmlformats.org/officeDocument/2006/relationships/hyperlink" Target="https://docs.google.com/document/d/1UkY75RZEIMSFieB32XsiFLmnVtkt_DanVrIMO-9P8a8/edit?usp=drivesdk" TargetMode="External"/><Relationship Id="rId163" Type="http://schemas.openxmlformats.org/officeDocument/2006/relationships/hyperlink" Target="https://docs.google.com/document/d/1bf3HW3LxQ4LTTeh0clNvbxADS1pj4okSQuQfR30HLZs/edit?usp=drivesdk" TargetMode="External"/><Relationship Id="rId162" Type="http://schemas.openxmlformats.org/officeDocument/2006/relationships/hyperlink" Target="https://docs.google.com/document/d/1B24Dt8UiPllTGmrf-uX63gzSr5cDW7OjKLSLa5G1igA/edit?usp=drivesdk" TargetMode="External"/><Relationship Id="rId169" Type="http://schemas.openxmlformats.org/officeDocument/2006/relationships/hyperlink" Target="https://docs.google.com/document/d/1M31OsofsQw4Pcii3S0gzVj6801wUwCrr9jrzVapX3WE/edit?usp=drivesdk" TargetMode="External"/><Relationship Id="rId168" Type="http://schemas.openxmlformats.org/officeDocument/2006/relationships/hyperlink" Target="https://docs.google.com/document/d/1a9IUhR5M8hrk4SWvyDLOGqEuG4gAW_IMiFzUG44ADYw/edit?usp=drivesdk" TargetMode="External"/><Relationship Id="rId167" Type="http://schemas.openxmlformats.org/officeDocument/2006/relationships/hyperlink" Target="https://docs.google.com/document/d/1ogPWEfxiXiExYulWf3MbKu_eUifdL3od4rnyhcrzCYU/edit?usp=drivesdk" TargetMode="External"/><Relationship Id="rId166" Type="http://schemas.openxmlformats.org/officeDocument/2006/relationships/hyperlink" Target="https://docs.google.com/document/d/1ahDd-j1z16HNHDtvPOlWlUEvWTBCtkE5MqLfmbxToMU/edit?usp=drivesdk" TargetMode="External"/><Relationship Id="rId51" Type="http://schemas.openxmlformats.org/officeDocument/2006/relationships/hyperlink" Target="https://docs.google.com/document/d/11USsLszdEllW70P1dSC3Y0FJL-E9lna2ZYbpmy6lhck/edit?usp=drivesdk" TargetMode="External"/><Relationship Id="rId50" Type="http://schemas.openxmlformats.org/officeDocument/2006/relationships/hyperlink" Target="https://docs.google.com/document/d/1OTxkyuKtbC5sBlvwu5P-oh4qqbatjRei7DlhFzMbX0I/edit?usp=drivesdk" TargetMode="External"/><Relationship Id="rId53" Type="http://schemas.openxmlformats.org/officeDocument/2006/relationships/hyperlink" Target="https://docs.google.com/document/d/1dMTFcNvb0h5SxxKZWB4hkmcBd81UIseFLSNTqalfnp8/edit?usp=drivesdk" TargetMode="External"/><Relationship Id="rId52" Type="http://schemas.openxmlformats.org/officeDocument/2006/relationships/hyperlink" Target="https://docs.google.com/document/d/1OorIWOYz8stSZScqMvg4UoYpUMhKQN0P7NOKW5bxqdo/edit?usp=drivesdk" TargetMode="External"/><Relationship Id="rId55" Type="http://schemas.openxmlformats.org/officeDocument/2006/relationships/hyperlink" Target="https://docs.google.com/document/d/14PrxTuzJrWAuJ-2KlZR6Gj_DIegyFHKfu83vPgRLkvI/edit?usp=drivesdk" TargetMode="External"/><Relationship Id="rId161" Type="http://schemas.openxmlformats.org/officeDocument/2006/relationships/hyperlink" Target="https://docs.google.com/document/d/1jxfjH7UrQ_uQoymk_x_u_Dtk8XCjcpkev79beVc8ymk/edit?usp=drivesdk" TargetMode="External"/><Relationship Id="rId54" Type="http://schemas.openxmlformats.org/officeDocument/2006/relationships/hyperlink" Target="https://docs.google.com/document/d/1th5z1U-TFIqFTaBpX3lAutDmA-uyEknX0x2tMreYgrw/edit?usp=drivesdk" TargetMode="External"/><Relationship Id="rId160" Type="http://schemas.openxmlformats.org/officeDocument/2006/relationships/hyperlink" Target="https://docs.google.com/document/d/1hidSZigJcs2sG7sRhkTiZdo12_J72sDKIWKFdjUx8eE/edit?usp=drivesdk" TargetMode="External"/><Relationship Id="rId57" Type="http://schemas.openxmlformats.org/officeDocument/2006/relationships/hyperlink" Target="https://docs.google.com/document/d/16zHANaGlVRKdrMSCKy-piYRR453-TUwGV5sPtqAshL4/edit?usp=drivesdk" TargetMode="External"/><Relationship Id="rId56" Type="http://schemas.openxmlformats.org/officeDocument/2006/relationships/hyperlink" Target="https://docs.google.com/document/d/1tsOtFqouEdkeGM_BOPjSRThpktpkUbRmClEoE654JdY/edit?usp=drivesdk" TargetMode="External"/><Relationship Id="rId159" Type="http://schemas.openxmlformats.org/officeDocument/2006/relationships/hyperlink" Target="https://docs.google.com/document/d/1kJJZy9HRGEe0rvZMQ9iIucHSEp3mgtN75hAYrYD5eIg/edit?usp=drivesdk" TargetMode="External"/><Relationship Id="rId59" Type="http://schemas.openxmlformats.org/officeDocument/2006/relationships/hyperlink" Target="https://docs.google.com/document/d/1nhizhnpoAIz-qefGK8va69ZYjggkiGz85otHYefMMaI/edit?usp=drivesdk" TargetMode="External"/><Relationship Id="rId154" Type="http://schemas.openxmlformats.org/officeDocument/2006/relationships/hyperlink" Target="https://docs.google.com/document/d/1Q7cZ6fiZgQW0x_7DntR9RKX2_tNyOr_bQ-i99rA5JSs/edit?usp=drivesdk" TargetMode="External"/><Relationship Id="rId58" Type="http://schemas.openxmlformats.org/officeDocument/2006/relationships/hyperlink" Target="https://docs.google.com/document/d/1HomwqxAj3gU3VHjn0cGKz1LDKJ527KFu7Jz_f9quMeQ/edit?usp=drivesdk" TargetMode="External"/><Relationship Id="rId153" Type="http://schemas.openxmlformats.org/officeDocument/2006/relationships/hyperlink" Target="https://docs.google.com/document/d/1fib1FMQCMPqjEn99uWTbS7li7RDTl8Va9WoVJFYgQy0/edit?usp=drivesdk" TargetMode="External"/><Relationship Id="rId152" Type="http://schemas.openxmlformats.org/officeDocument/2006/relationships/hyperlink" Target="https://docs.google.com/document/d/1-mHp8ZHd2FAttPPcH1Cl9IQBmq2abC1ziQxA_u_0gZ4/edit?usp=drivesdk" TargetMode="External"/><Relationship Id="rId151" Type="http://schemas.openxmlformats.org/officeDocument/2006/relationships/hyperlink" Target="https://docs.google.com/document/d/1syfG048ILaFH9cIhjIzrO_-g3Tvo30EhgIprLuVEPS0/edit?usp=drivesdk" TargetMode="External"/><Relationship Id="rId158" Type="http://schemas.openxmlformats.org/officeDocument/2006/relationships/hyperlink" Target="https://docs.google.com/document/d/1HpZNs1Woptm4Yj1Kd5qZdZxRHbZ3hzOAu0CwjKbg6m4/edit?usp=drivesdk" TargetMode="External"/><Relationship Id="rId157" Type="http://schemas.openxmlformats.org/officeDocument/2006/relationships/hyperlink" Target="https://docs.google.com/document/d/1wLY6Nf6cMPyjExXW1Lf3NF2u1zbiwRIuKTmXapnct1I/edit?usp=drivesdk" TargetMode="External"/><Relationship Id="rId156" Type="http://schemas.openxmlformats.org/officeDocument/2006/relationships/hyperlink" Target="https://docs.google.com/document/d/1jKM3nuMbYRvHNmINrY5AFnidHUKjR5ByO8iV4WSIdA4/edit?usp=drivesdk" TargetMode="External"/><Relationship Id="rId155" Type="http://schemas.openxmlformats.org/officeDocument/2006/relationships/hyperlink" Target="https://docs.google.com/document/d/1rlWRy16Mh9HbUM_ty6z5ihiJNl48ADyYlCsukWOGR4U/edit?usp=drivesdk" TargetMode="External"/><Relationship Id="rId107" Type="http://schemas.openxmlformats.org/officeDocument/2006/relationships/hyperlink" Target="https://docs.google.com/document/d/1Bs97gEr6qI0dabRZfB3zWVzOs4WRifUYDygA_Q69mYY/edit?usp=drivesdk" TargetMode="External"/><Relationship Id="rId106" Type="http://schemas.openxmlformats.org/officeDocument/2006/relationships/hyperlink" Target="https://docs.google.com/document/d/1geeKXhHonK8feUOjSFxDV29Fj5dBxaBb1faknPMJnrA/edit?usp=drivesdk" TargetMode="External"/><Relationship Id="rId105" Type="http://schemas.openxmlformats.org/officeDocument/2006/relationships/hyperlink" Target="https://docs.google.com/document/d/1viRVweqH8_kdjDg6Y5j_rUODtt3rQpdd2KdcXzAYrwk/edit?usp=drivesdk" TargetMode="External"/><Relationship Id="rId104" Type="http://schemas.openxmlformats.org/officeDocument/2006/relationships/hyperlink" Target="https://docs.google.com/document/d/1oWN1Ogill7BLRGtWGF0z6YcU45vjmWOTGn7IzH0CNyU/edit?usp=drivesdk" TargetMode="External"/><Relationship Id="rId109" Type="http://schemas.openxmlformats.org/officeDocument/2006/relationships/hyperlink" Target="https://docs.google.com/document/d/1MJDZn7Otb9LJKulc3Bh_Mk1-h-i8GowKb6hKyxK3NWI/edit?usp=drivesdk" TargetMode="External"/><Relationship Id="rId108" Type="http://schemas.openxmlformats.org/officeDocument/2006/relationships/hyperlink" Target="https://docs.google.com/document/d/19wXv4XGvU-r45gcKf1w6eRN07W2R2d2woB3vYSON0i4/edit?usp=drivesdk" TargetMode="External"/><Relationship Id="rId103" Type="http://schemas.openxmlformats.org/officeDocument/2006/relationships/hyperlink" Target="https://docs.google.com/document/d/1qwhgFrEDEjHFtCBLK8Eu2VVjHXuDJPkVEQxt9vWmPvE/edit?usp=drivesdk" TargetMode="External"/><Relationship Id="rId102" Type="http://schemas.openxmlformats.org/officeDocument/2006/relationships/hyperlink" Target="https://docs.google.com/document/d/15fyb3u3Dwcu2A7U0aNlZ367cxdMyK26bbRyEFDe4uig/edit?usp=drivesdk" TargetMode="External"/><Relationship Id="rId101" Type="http://schemas.openxmlformats.org/officeDocument/2006/relationships/hyperlink" Target="https://docs.google.com/document/d/1we9lQ97-5xxsDJRQF1_mnTpseNgXHEKK8zMDSwPqnI0/edit?usp=drivesdk" TargetMode="External"/><Relationship Id="rId100" Type="http://schemas.openxmlformats.org/officeDocument/2006/relationships/hyperlink" Target="https://docs.google.com/document/d/1WOoAeunxPw3KXRo-B2cM4PCpq-07t6kTt_lXOREkyuQ/edit?usp=drivesdk" TargetMode="External"/><Relationship Id="rId129" Type="http://schemas.openxmlformats.org/officeDocument/2006/relationships/hyperlink" Target="https://docs.google.com/document/d/1mE9gvwbIay1UZ7pYkdOoMqF5Vics0U9JrbmF0WLpXMs/edit?usp=drivesdk" TargetMode="External"/><Relationship Id="rId128" Type="http://schemas.openxmlformats.org/officeDocument/2006/relationships/hyperlink" Target="https://docs.google.com/document/d/1Tr5RAFz6W8lbMVF8sYKV-H-gP6RrdtyaypEnjwd1s8E/edit?usp=drivesdk" TargetMode="External"/><Relationship Id="rId127" Type="http://schemas.openxmlformats.org/officeDocument/2006/relationships/hyperlink" Target="https://docs.google.com/document/d/162INNGLi0AZV7rOWLSD1uWztnrKDR3nkq2cJQ-GIavc/edit?usp=drivesdk" TargetMode="External"/><Relationship Id="rId126" Type="http://schemas.openxmlformats.org/officeDocument/2006/relationships/hyperlink" Target="https://docs.google.com/document/d/1V2uQr0niI6jsY7kXDarbiOTblbyqba2kfogeT1DuqfU/edit?usp=drivesdk" TargetMode="External"/><Relationship Id="rId121" Type="http://schemas.openxmlformats.org/officeDocument/2006/relationships/hyperlink" Target="https://docs.google.com/document/d/1NyxGp_gu-4LNdhvwt3LkMKNaW8SkANnsbSDPKrPxU6o/edit?usp=drivesdk" TargetMode="External"/><Relationship Id="rId120" Type="http://schemas.openxmlformats.org/officeDocument/2006/relationships/hyperlink" Target="https://docs.google.com/document/d/1CwVVXy2jO7lNYTH9Z-xDeXggHD8ZUg14DWd6GF5RVBU/edit?usp=drivesdk" TargetMode="External"/><Relationship Id="rId125" Type="http://schemas.openxmlformats.org/officeDocument/2006/relationships/hyperlink" Target="https://docs.google.com/document/d/1qTk9CS5Eq6o-sqIVkWvI3N4q8RLZcafiASaeGxQsMHY/edit?usp=drivesdk" TargetMode="External"/><Relationship Id="rId124" Type="http://schemas.openxmlformats.org/officeDocument/2006/relationships/hyperlink" Target="https://docs.google.com/document/d/1qLUboOpXvLQPmNlW_7fIZZKxwZMx1Q8v50X0eGn39YA/edit?usp=drivesdk" TargetMode="External"/><Relationship Id="rId123" Type="http://schemas.openxmlformats.org/officeDocument/2006/relationships/hyperlink" Target="https://docs.google.com/document/d/115b5OQrSqNlwEHdvRGNQluf-oGgxxzpyZ6uxaSTkSL0/edit?usp=drivesdk" TargetMode="External"/><Relationship Id="rId122" Type="http://schemas.openxmlformats.org/officeDocument/2006/relationships/hyperlink" Target="https://docs.google.com/document/d/1loaW-sdeRgHyWIoypFJFwZ7dvs78XYSaJxATZ-onMjg/edit?usp=drivesdk" TargetMode="External"/><Relationship Id="rId95" Type="http://schemas.openxmlformats.org/officeDocument/2006/relationships/hyperlink" Target="https://docs.google.com/document/d/1TowjeAVBJgIS6cfOazoW6mNXx3ulmALmNQkqh08SqGE/edit?usp=drivesdk" TargetMode="External"/><Relationship Id="rId94" Type="http://schemas.openxmlformats.org/officeDocument/2006/relationships/hyperlink" Target="https://docs.google.com/document/d/1nl82QE41vwAz38_qxwuq80w6aT1GWJ2LFiIvi3a6FGc/edit?usp=drivesdk" TargetMode="External"/><Relationship Id="rId97" Type="http://schemas.openxmlformats.org/officeDocument/2006/relationships/hyperlink" Target="https://docs.google.com/document/d/1-_ruw9rGpiP5h4_OCs2Dx8n6Yhicw_5I8dmKCorYs9E/edit?usp=drivesdk" TargetMode="External"/><Relationship Id="rId96" Type="http://schemas.openxmlformats.org/officeDocument/2006/relationships/hyperlink" Target="https://docs.google.com/document/d/10GexmUtYyruR4Uji1sLT-3PulxfJ3nyo0XRMrIT_IxU/edit?usp=drivesdk" TargetMode="External"/><Relationship Id="rId99" Type="http://schemas.openxmlformats.org/officeDocument/2006/relationships/hyperlink" Target="https://docs.google.com/document/d/1m-nrtssJVreaL3dlTSF7qJ0mB8BW7EA_8YxIAfn-yKg/edit?usp=drivesdk" TargetMode="External"/><Relationship Id="rId98" Type="http://schemas.openxmlformats.org/officeDocument/2006/relationships/hyperlink" Target="https://docs.google.com/document/d/1tIumvKW6BgzhNB195QopP8r6jk5p_nsXAIVx8BwebZo/edit?usp=drivesdk" TargetMode="External"/><Relationship Id="rId91" Type="http://schemas.openxmlformats.org/officeDocument/2006/relationships/hyperlink" Target="https://docs.google.com/document/d/1Uh3hmHEPlUrpd4K1GDQrK6b262ZKhXz1EviaVpqqht0/edit?usp=drivesdk" TargetMode="External"/><Relationship Id="rId90" Type="http://schemas.openxmlformats.org/officeDocument/2006/relationships/hyperlink" Target="https://docs.google.com/document/d/1rLmbSzc600d3grg5CXbs_WeUauVbIfmHc9zxtGZbukk/edit?usp=drivesdk" TargetMode="External"/><Relationship Id="rId93" Type="http://schemas.openxmlformats.org/officeDocument/2006/relationships/hyperlink" Target="https://docs.google.com/document/d/17EZwPyq3AJz0M8ZMj97NLU7Q0yvt43QwciYxiXB6NFo/edit?usp=drivesdk" TargetMode="External"/><Relationship Id="rId92" Type="http://schemas.openxmlformats.org/officeDocument/2006/relationships/hyperlink" Target="https://docs.google.com/document/d/1kkm0d2p7L6-bIgc2XwoG-Ek-oUcWDrrhFDnq3PWiRVs/edit?usp=drivesdk" TargetMode="External"/><Relationship Id="rId118" Type="http://schemas.openxmlformats.org/officeDocument/2006/relationships/hyperlink" Target="https://docs.google.com/document/d/13_-cfic5tS0mwuPL-P1u_tQPUhAFdgZfi2txwmORjOs/edit?usp=drivesdk" TargetMode="External"/><Relationship Id="rId117" Type="http://schemas.openxmlformats.org/officeDocument/2006/relationships/hyperlink" Target="https://docs.google.com/document/d/1M27BC4CMwqEWjaUedNjpHE2hmEj-HsnGITTbZah7Ams/edit?usp=drivesdk" TargetMode="External"/><Relationship Id="rId116" Type="http://schemas.openxmlformats.org/officeDocument/2006/relationships/hyperlink" Target="https://docs.google.com/document/d/1xEjQUCKUq4td0GhisMsIT8In8-ORBAkWJPQ8AaBoLOg/edit?usp=drivesdk" TargetMode="External"/><Relationship Id="rId115" Type="http://schemas.openxmlformats.org/officeDocument/2006/relationships/hyperlink" Target="https://docs.google.com/document/d/1TmQdb0APCeS0Hv0iceXmNaTblh6JjpNC3tvO58OpgqA/edit?usp=drivesdk" TargetMode="External"/><Relationship Id="rId119" Type="http://schemas.openxmlformats.org/officeDocument/2006/relationships/hyperlink" Target="https://docs.google.com/document/d/10nG75mnS38K5K2mI3-19Jz3uMBBnW9Vq9Wk5EBpOYxU/edit?usp=drivesdk" TargetMode="External"/><Relationship Id="rId110" Type="http://schemas.openxmlformats.org/officeDocument/2006/relationships/hyperlink" Target="https://docs.google.com/document/d/17BdhOEvvtL7OnoddjJtl6GnGKIdsvWBJq7z6NNxucjA/edit?usp=drivesdk" TargetMode="External"/><Relationship Id="rId114" Type="http://schemas.openxmlformats.org/officeDocument/2006/relationships/hyperlink" Target="https://docs.google.com/document/d/1PEqHMcn_0zPc-iJeT_lpiAAawLd-pG3bYGaEerCy3RQ/edit?usp=drivesdk" TargetMode="External"/><Relationship Id="rId113" Type="http://schemas.openxmlformats.org/officeDocument/2006/relationships/hyperlink" Target="https://docs.google.com/document/d/1JMS32K3SRRfbBRl-swVHbS8pvbOkWZLDszjEpmXI2L0/edit?usp=drivesdk" TargetMode="External"/><Relationship Id="rId112" Type="http://schemas.openxmlformats.org/officeDocument/2006/relationships/hyperlink" Target="https://docs.google.com/document/d/1tmHamWLsEIJV3_5Rhg_FuX5jMfal7dTyRZJvcSyPL6k/edit?usp=drivesdk" TargetMode="External"/><Relationship Id="rId111" Type="http://schemas.openxmlformats.org/officeDocument/2006/relationships/hyperlink" Target="https://docs.google.com/document/d/11C6_QlrjatudIWaGt_VzY5vEzct2HbZoZA0lazRLZrw/edit?usp=drivesd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OPWhwxdJgiEP3tL5fMr8Gj5Q4jqcmbLKFuSVLTIqdrg/edit?usp=drivesdk" TargetMode="External"/><Relationship Id="rId190" Type="http://schemas.openxmlformats.org/officeDocument/2006/relationships/hyperlink" Target="https://docs.google.com/document/d/1JL_FCwarJnVFMpXpgECSzY-e6A6JguhrfgrtQmH3nos/edit?usp=drivesdk" TargetMode="External"/><Relationship Id="rId42" Type="http://schemas.openxmlformats.org/officeDocument/2006/relationships/hyperlink" Target="https://docs.google.com/document/d/1RnNGhUAzYgZQe7y9-4aK-Ik0H-lhoroQvh6tybIRW0Q/edit?usp=drivesdk" TargetMode="External"/><Relationship Id="rId41" Type="http://schemas.openxmlformats.org/officeDocument/2006/relationships/hyperlink" Target="https://docs.google.com/document/d/1fxfmtHF_KCDpJSLYf8TK_Al3k219l8SnHu8YUIdwVVg/edit?usp=drivesdk" TargetMode="External"/><Relationship Id="rId44" Type="http://schemas.openxmlformats.org/officeDocument/2006/relationships/hyperlink" Target="https://docs.google.com/document/d/1wE6D0iNH1YPzeAJG3npYBqM4jRSXN3jR79Ww5BdKQEg/edit?usp=drivesdk" TargetMode="External"/><Relationship Id="rId194" Type="http://schemas.openxmlformats.org/officeDocument/2006/relationships/hyperlink" Target="https://docs.google.com/document/d/1cm7J_6crxzpHJLsLE4wg4GzXkZF5kITfn3p-T8nUdpY/edit?usp=drivesdk" TargetMode="External"/><Relationship Id="rId43" Type="http://schemas.openxmlformats.org/officeDocument/2006/relationships/hyperlink" Target="https://docs.google.com/document/d/1ywVcLb1a6lAsiHlObLXKmrvbSA88yiepIlEEol-qEAw/edit?usp=drivesdk" TargetMode="External"/><Relationship Id="rId193" Type="http://schemas.openxmlformats.org/officeDocument/2006/relationships/hyperlink" Target="https://docs.google.com/document/d/1eCxBE32LxWAFb5I8eapDC7Eh6AyUFifcylhpO7qh2W0/edit?usp=drivesdk" TargetMode="External"/><Relationship Id="rId46" Type="http://schemas.openxmlformats.org/officeDocument/2006/relationships/hyperlink" Target="https://docs.google.com/document/d/1tcnslenzAlw7mFTJ1Xi7zgqrQ0qkOGM0GJMTRQhpsfU/edit?usp=drivesdk" TargetMode="External"/><Relationship Id="rId192" Type="http://schemas.openxmlformats.org/officeDocument/2006/relationships/hyperlink" Target="https://docs.google.com/document/d/1ZlCEWlCSoK3QnP0Y5rf1WYG7s5qZj_5jQK9r-K6rbc8/edit?usp=drivesdk" TargetMode="External"/><Relationship Id="rId45" Type="http://schemas.openxmlformats.org/officeDocument/2006/relationships/hyperlink" Target="https://docs.google.com/document/d/1YfCF90Xz_5NgeI4zpsEhcszY5KaUIvW8AvNwfzSPQ0c/edit?usp=drivesdk" TargetMode="External"/><Relationship Id="rId191" Type="http://schemas.openxmlformats.org/officeDocument/2006/relationships/hyperlink" Target="https://docs.google.com/document/d/1XwzMiW4yLGx8qBS0CzCTNSvNegp3FXKq1l6JBZ7eHAQ/edit?usp=drivesdk" TargetMode="External"/><Relationship Id="rId48" Type="http://schemas.openxmlformats.org/officeDocument/2006/relationships/hyperlink" Target="https://docs.google.com/document/d/16jsfNaqP_vj9LxXe8bxjpgZjdDE5wsnkRi1LDOI1aE4/edit?usp=drivesdk" TargetMode="External"/><Relationship Id="rId187" Type="http://schemas.openxmlformats.org/officeDocument/2006/relationships/hyperlink" Target="https://docs.google.com/document/d/10fXL0g0gopFTiLGImmciS7IHDDlfWUDK44G2otY0SVA/edit?usp=drivesdk" TargetMode="External"/><Relationship Id="rId47" Type="http://schemas.openxmlformats.org/officeDocument/2006/relationships/hyperlink" Target="https://docs.google.com/document/d/14BdE8SdsVTD1lyoRvQTfMVwPNQh24aNViRIIWOy17vc/edit?usp=drivesdk" TargetMode="External"/><Relationship Id="rId186" Type="http://schemas.openxmlformats.org/officeDocument/2006/relationships/hyperlink" Target="https://docs.google.com/document/d/1Y3wsOCNERm9mdcQvs_yFHYtbblSuxffM8s77JL_uKxo/edit?usp=drivesdk" TargetMode="External"/><Relationship Id="rId185" Type="http://schemas.openxmlformats.org/officeDocument/2006/relationships/hyperlink" Target="https://docs.google.com/document/d/1Au0gXOaplhy7jtAJ4BekBSnMSgaO4l_rCTdYWQsiFjU/edit?usp=drivesdk" TargetMode="External"/><Relationship Id="rId49" Type="http://schemas.openxmlformats.org/officeDocument/2006/relationships/hyperlink" Target="https://docs.google.com/document/d/1QRj33RDrr31T7ACZAkiepaGx503R4T95LUkcJFfAn2o/edit?usp=drivesdk" TargetMode="External"/><Relationship Id="rId184" Type="http://schemas.openxmlformats.org/officeDocument/2006/relationships/hyperlink" Target="https://docs.google.com/document/d/13xQHMmR_vwP-81_Rhn0wt1itH7njf0yDOk5FfWMfp4M/edit?usp=drivesdk" TargetMode="External"/><Relationship Id="rId189" Type="http://schemas.openxmlformats.org/officeDocument/2006/relationships/hyperlink" Target="https://docs.google.com/document/d/1ti1IS0vkGbFa1p_6sWIUJA3UcYmKCvaBysjsjA6r4Hw/edit?usp=drivesdk" TargetMode="External"/><Relationship Id="rId188" Type="http://schemas.openxmlformats.org/officeDocument/2006/relationships/hyperlink" Target="https://docs.google.com/document/d/1W57wLnsK0KJNOoFUH6BeB7w3UPOsdVJxz4M1CoBDvo0/edit?usp=drivesdk" TargetMode="External"/><Relationship Id="rId31" Type="http://schemas.openxmlformats.org/officeDocument/2006/relationships/hyperlink" Target="https://docs.google.com/document/d/10fCg1Bfv9p5bapxVhCimOS6X3OwHfgH5vkZnUyHbCls/edit?usp=drivesdk" TargetMode="External"/><Relationship Id="rId30" Type="http://schemas.openxmlformats.org/officeDocument/2006/relationships/hyperlink" Target="https://docs.google.com/document/d/1LggOS2uya7OahvC2a132xiTKV7VF6qU3QzT5PGEv-VI/edit?usp=drivesdk" TargetMode="External"/><Relationship Id="rId33" Type="http://schemas.openxmlformats.org/officeDocument/2006/relationships/hyperlink" Target="https://docs.google.com/document/d/1uwpczWrmE1cLMIu0Q7ldXg9O5BXxgYpPlleUU58VkWw/edit?usp=drivesdk" TargetMode="External"/><Relationship Id="rId183" Type="http://schemas.openxmlformats.org/officeDocument/2006/relationships/hyperlink" Target="https://docs.google.com/document/d/1UrYhkx3IXxfgsejvNA1EO1WJ_-uuAYOkg2FKr7Livzg/edit?usp=drivesdk" TargetMode="External"/><Relationship Id="rId32" Type="http://schemas.openxmlformats.org/officeDocument/2006/relationships/hyperlink" Target="https://docs.google.com/document/d/1F90vOCtdIUqkGcpE8ccwD0_ZBMOscwjntCRNi0xDvi4/edit?usp=drivesdk" TargetMode="External"/><Relationship Id="rId182" Type="http://schemas.openxmlformats.org/officeDocument/2006/relationships/hyperlink" Target="https://docs.google.com/document/d/1RjGgbXHyimFAYMa0AvGM7ip67OwGdudJKwwY0dodlX0/edit?usp=drivesdk" TargetMode="External"/><Relationship Id="rId35" Type="http://schemas.openxmlformats.org/officeDocument/2006/relationships/hyperlink" Target="https://docs.google.com/document/d/1s7JSW_lYkGhz6zn_izJ0FAH1l9llPeSaQe9ijhRa1bY/edit?usp=drivesdk" TargetMode="External"/><Relationship Id="rId181" Type="http://schemas.openxmlformats.org/officeDocument/2006/relationships/hyperlink" Target="https://docs.google.com/document/d/1eEVyf9hy9fZ_yqToJfXiKcEl6CueET2csd07k3nAltg/edit?usp=drivesdk" TargetMode="External"/><Relationship Id="rId34" Type="http://schemas.openxmlformats.org/officeDocument/2006/relationships/hyperlink" Target="https://docs.google.com/document/d/1L9lBFyFB7M0sObKTrgrdXaymG5Jvhzal4sDxde1EuCo/edit?usp=drivesdk" TargetMode="External"/><Relationship Id="rId180" Type="http://schemas.openxmlformats.org/officeDocument/2006/relationships/hyperlink" Target="https://docs.google.com/document/d/1jdMol3SJmLBnDGwsGV3un_6jGVc8rpUMJTPFvDC6eQU/edit?usp=drivesdk" TargetMode="External"/><Relationship Id="rId37" Type="http://schemas.openxmlformats.org/officeDocument/2006/relationships/hyperlink" Target="https://docs.google.com/document/d/1Fhx7JsGt5dhWThWv5Vh6vkxnfPzjr79Q8CZapwI4mXY/edit?usp=drivesdk" TargetMode="External"/><Relationship Id="rId176" Type="http://schemas.openxmlformats.org/officeDocument/2006/relationships/hyperlink" Target="https://docs.google.com/document/d/1lKc9TDlDf-lG0Up3IGCUkYN71QjYeJGPzBr3X4QYRbw/edit?usp=drivesdk" TargetMode="External"/><Relationship Id="rId36" Type="http://schemas.openxmlformats.org/officeDocument/2006/relationships/hyperlink" Target="https://docs.google.com/document/d/1OMDhG6VACBWHpzX_-ADqkm0yDhkP4eI7soiYIrBNzT0/edit?usp=drivesdk" TargetMode="External"/><Relationship Id="rId175" Type="http://schemas.openxmlformats.org/officeDocument/2006/relationships/hyperlink" Target="https://docs.google.com/document/d/1vJKwRJQfjtEMNgKpP7SiefUudMdzYleuIaMEz_CNPec/edit?usp=drivesdk" TargetMode="External"/><Relationship Id="rId39" Type="http://schemas.openxmlformats.org/officeDocument/2006/relationships/hyperlink" Target="https://docs.google.com/document/d/1hO9jY3wBOoWI-kRgWalYLUChSuwALTtXemm-mvPBIqk/edit?usp=drivesdk" TargetMode="External"/><Relationship Id="rId174" Type="http://schemas.openxmlformats.org/officeDocument/2006/relationships/hyperlink" Target="https://docs.google.com/document/d/1lZUoq2d2fKDamo-CkLQGyhFpJ0aaL6_8m0Hs4peVphc/edit?usp=drivesdk" TargetMode="External"/><Relationship Id="rId38" Type="http://schemas.openxmlformats.org/officeDocument/2006/relationships/hyperlink" Target="https://docs.google.com/document/d/1X89-dUCyUbXRQAD7ulCW8WwjQMWA9woDEDyCQ2KQZj8/edit?usp=drivesdk" TargetMode="External"/><Relationship Id="rId173" Type="http://schemas.openxmlformats.org/officeDocument/2006/relationships/hyperlink" Target="https://docs.google.com/document/d/1_2aPjhniC5_YFP7yBmvZ31iWSRVTGRsFK38UJk_-y1w/edit?usp=drivesdk" TargetMode="External"/><Relationship Id="rId179" Type="http://schemas.openxmlformats.org/officeDocument/2006/relationships/hyperlink" Target="https://docs.google.com/document/d/1j6fSexFL82UHPFI8SdVNQrC4xpCWxD316zSKkIJKNrQ/edit?usp=drivesdk" TargetMode="External"/><Relationship Id="rId178" Type="http://schemas.openxmlformats.org/officeDocument/2006/relationships/hyperlink" Target="https://docs.google.com/document/d/1hut8ULQqFaoVS-vw6Wy7yK5X6glqE6pb1-QNfmEVgl0/edit?usp=drivesdk" TargetMode="External"/><Relationship Id="rId177" Type="http://schemas.openxmlformats.org/officeDocument/2006/relationships/hyperlink" Target="https://docs.google.com/document/d/1HWMC-ZC4XZNg4PoHqIPqmsPSlCmkiQQuCGhUGaHycsk/edit?usp=drivesdk" TargetMode="External"/><Relationship Id="rId20" Type="http://schemas.openxmlformats.org/officeDocument/2006/relationships/hyperlink" Target="https://docs.google.com/document/d/1wXR8CTsAKWy7N2rDOe4i4IFcD_8aszM-gbElpYYvvYI/edit?usp=drivesdk" TargetMode="External"/><Relationship Id="rId22" Type="http://schemas.openxmlformats.org/officeDocument/2006/relationships/hyperlink" Target="https://docs.google.com/document/d/1Eq8hiO8_Hwr1BNWBTexze3TJd0371zA6gzanSzAtAP8/edit?usp=drivesdk" TargetMode="External"/><Relationship Id="rId21" Type="http://schemas.openxmlformats.org/officeDocument/2006/relationships/hyperlink" Target="https://docs.google.com/document/d/1LdHz_WJE5Wf4oDs-P35_HV1gm9MKK8DobcPj8KLoMCg/edit?usp=drivesdk" TargetMode="External"/><Relationship Id="rId24" Type="http://schemas.openxmlformats.org/officeDocument/2006/relationships/hyperlink" Target="https://docs.google.com/document/d/1O9nMMDyzvZnqj6V4GeeYLeiPg_lIWKrXdwoZxFe95Jc/edit?usp=drivesdk" TargetMode="External"/><Relationship Id="rId23" Type="http://schemas.openxmlformats.org/officeDocument/2006/relationships/hyperlink" Target="https://docs.google.com/document/d/1tIPKpQTfkefKCwRzymwyHEgrEJ6kwGN4uxfjLpkRw6U/edit?usp=drivesdk" TargetMode="External"/><Relationship Id="rId26" Type="http://schemas.openxmlformats.org/officeDocument/2006/relationships/hyperlink" Target="https://docs.google.com/document/d/1RmI9Y_Be50ya4lRGMmRulclJuo9zpdxXfmJJ62CFSHs/edit?usp=drivesdk" TargetMode="External"/><Relationship Id="rId25" Type="http://schemas.openxmlformats.org/officeDocument/2006/relationships/hyperlink" Target="https://docs.google.com/document/d/1vE6oqMb3IPjVXtOZmsxhzLXlBZvdaUdp40PM9wRopLk/edit?usp=drivesdk" TargetMode="External"/><Relationship Id="rId28" Type="http://schemas.openxmlformats.org/officeDocument/2006/relationships/hyperlink" Target="https://docs.google.com/document/d/18gHiWrxitBa9mbdX9Up-j3wbDqCUNZ69XU3Yy4do4ac/edit?usp=drivesdk" TargetMode="External"/><Relationship Id="rId27" Type="http://schemas.openxmlformats.org/officeDocument/2006/relationships/hyperlink" Target="https://docs.google.com/document/d/1ohSKikERoqyoQABs-wnKqTTWHLv6gfHQK12zwVFLueg/edit?usp=drivesdk" TargetMode="External"/><Relationship Id="rId29" Type="http://schemas.openxmlformats.org/officeDocument/2006/relationships/hyperlink" Target="https://docs.google.com/document/d/1rdvyDmAomMVnGtc8dNCiXqnehL-SIqxxaWcPlpxO1Ns/edit?usp=drivesdk" TargetMode="External"/><Relationship Id="rId11" Type="http://schemas.openxmlformats.org/officeDocument/2006/relationships/hyperlink" Target="https://docs.google.com/document/d/1PTX4FLvzm-I2mmdDJ7fwGsb8w0RV9xJxdt2FJ6lGKoE/edit?usp=drivesdk" TargetMode="External"/><Relationship Id="rId10" Type="http://schemas.openxmlformats.org/officeDocument/2006/relationships/hyperlink" Target="https://docs.google.com/document/d/1TVAid9Rk_jGxcKLUc-VmKZIOxaNrfBTlA7q3UptlH64/edit?usp=drivesdk" TargetMode="External"/><Relationship Id="rId13" Type="http://schemas.openxmlformats.org/officeDocument/2006/relationships/hyperlink" Target="https://docs.google.com/document/d/1Lf86SSxiA_4PIsGVxqw37S3cxpcrUWw2iqrzwV4ZEEk/edit?usp=drivesdk" TargetMode="External"/><Relationship Id="rId12" Type="http://schemas.openxmlformats.org/officeDocument/2006/relationships/hyperlink" Target="https://docs.google.com/document/d/165dOdzAXUMdQwuNUM8N6ZU3GvP7kp1NgnUaZXB9aOkc/edit?usp=drivesdk" TargetMode="External"/><Relationship Id="rId15" Type="http://schemas.openxmlformats.org/officeDocument/2006/relationships/hyperlink" Target="https://docs.google.com/document/d/1m0f_gixFY7Qgp1pJZzEVEEAeM0_da1zPMNR_U_PvAEk/edit?usp=drivesdk" TargetMode="External"/><Relationship Id="rId198" Type="http://schemas.openxmlformats.org/officeDocument/2006/relationships/hyperlink" Target="https://docs.google.com/document/d/1KbNNDaLaFn5leLs2bsly4WtAqUz1RWHdp88ftwgSb7I/edit?usp=drivesdk" TargetMode="External"/><Relationship Id="rId14" Type="http://schemas.openxmlformats.org/officeDocument/2006/relationships/hyperlink" Target="https://docs.google.com/document/d/1hjH8r_mAg-xMTyjMEAAz0uAkMiG1-HWuKUyriLGzahU/edit?usp=drivesdk" TargetMode="External"/><Relationship Id="rId197" Type="http://schemas.openxmlformats.org/officeDocument/2006/relationships/hyperlink" Target="https://docs.google.com/document/d/12dgrM60nDXFYMZN0vyUsxrfgwbC_O1VmA-RvEcwRNNM/edit?usp=drivesdk" TargetMode="External"/><Relationship Id="rId17" Type="http://schemas.openxmlformats.org/officeDocument/2006/relationships/hyperlink" Target="https://docs.google.com/document/d/1l1efZ95-Y7fXKXdAAnkjgMs85vGEq_dVhVQZ2DzilUw/edit?usp=drivesdk" TargetMode="External"/><Relationship Id="rId196" Type="http://schemas.openxmlformats.org/officeDocument/2006/relationships/hyperlink" Target="https://docs.google.com/document/d/1MaJpvBF49lYrdU507_2zwJmG9lyxJtfB_wDwL5M5jkw/edit?usp=drivesdk" TargetMode="External"/><Relationship Id="rId16" Type="http://schemas.openxmlformats.org/officeDocument/2006/relationships/hyperlink" Target="https://docs.google.com/document/d/1qI46K9RcL-XhqR0WQyoWr-GnWxzxtRnZCez9oonCvEc/edit?usp=drivesdk" TargetMode="External"/><Relationship Id="rId195" Type="http://schemas.openxmlformats.org/officeDocument/2006/relationships/hyperlink" Target="https://docs.google.com/document/d/1P4XXUUVPY6ictT1MzphpV5ob_PXEA6yONFN9NLkFum4/edit?usp=drivesdk" TargetMode="External"/><Relationship Id="rId19" Type="http://schemas.openxmlformats.org/officeDocument/2006/relationships/hyperlink" Target="https://docs.google.com/document/d/1bm58nNTCe94mXFaTE6Q866Jd6TFA00KxZzr4jkGgjMk/edit?usp=drivesdk" TargetMode="External"/><Relationship Id="rId18" Type="http://schemas.openxmlformats.org/officeDocument/2006/relationships/hyperlink" Target="https://docs.google.com/document/d/1uMb52fCg2LXgUzrTq83OPCC_nX41zGYqQyZHIAoiYq4/edit?usp=drivesdk" TargetMode="External"/><Relationship Id="rId199" Type="http://schemas.openxmlformats.org/officeDocument/2006/relationships/hyperlink" Target="https://docs.google.com/document/d/1PT2UhhVf7jOWy72N6aTi52DKV4qtVmvGIjDht0lBCsY/edit?usp=drivesdk" TargetMode="External"/><Relationship Id="rId84" Type="http://schemas.openxmlformats.org/officeDocument/2006/relationships/hyperlink" Target="https://docs.google.com/document/d/1UljSGq_S7F62_cC0W3dYABDKVbjd53qen-R5qT7iD8I/edit?usp=drivesdk" TargetMode="External"/><Relationship Id="rId83" Type="http://schemas.openxmlformats.org/officeDocument/2006/relationships/hyperlink" Target="https://docs.google.com/document/d/1hFXw-ZK3yGx3OS2sE8TOIDavr51Di3sUe_ZmLCFU8Ig/edit?usp=drivesdk" TargetMode="External"/><Relationship Id="rId86" Type="http://schemas.openxmlformats.org/officeDocument/2006/relationships/hyperlink" Target="https://docs.google.com/document/d/1cLFCz6unHb1XBYRRSHMR3nSQ3paD_Zvo63EZT7prDJA/edit?usp=drivesdk" TargetMode="External"/><Relationship Id="rId85" Type="http://schemas.openxmlformats.org/officeDocument/2006/relationships/hyperlink" Target="https://docs.google.com/document/d/1jc0L--XAgyvsBsQxhsavoZNcD1zNBWm93Z9Jdmpg1kY/edit?usp=drivesdk" TargetMode="External"/><Relationship Id="rId88" Type="http://schemas.openxmlformats.org/officeDocument/2006/relationships/hyperlink" Target="https://docs.google.com/document/d/1P4kDbDQhFENvURX2DPNW-3GEVEX71smoXK9wVBEzdRk/edit?usp=drivesdk" TargetMode="External"/><Relationship Id="rId150" Type="http://schemas.openxmlformats.org/officeDocument/2006/relationships/hyperlink" Target="https://docs.google.com/document/d/1Upxo27PvqXounYNfDB4APSl0c3eSHcUht9zp969JL8g/edit?usp=drivesdk" TargetMode="External"/><Relationship Id="rId87" Type="http://schemas.openxmlformats.org/officeDocument/2006/relationships/hyperlink" Target="https://docs.google.com/document/d/13ax35l2EBp_onT2n3BeAmftwt-olb7qy9CZXKqr9CK8/edit?usp=drivesdk" TargetMode="External"/><Relationship Id="rId89" Type="http://schemas.openxmlformats.org/officeDocument/2006/relationships/hyperlink" Target="https://docs.google.com/document/d/1569OuV8HS3aA-0of2t1R_5BMpD2CRKzXPUi8C1ag64Q/edit?usp=drivesdk" TargetMode="External"/><Relationship Id="rId80" Type="http://schemas.openxmlformats.org/officeDocument/2006/relationships/hyperlink" Target="https://docs.google.com/document/d/1LeyQGYRgBlu6-9Gb2vScV3Juc8h6w0kQTVO4lTBQVsE/edit?usp=drivesdk" TargetMode="External"/><Relationship Id="rId82" Type="http://schemas.openxmlformats.org/officeDocument/2006/relationships/hyperlink" Target="https://docs.google.com/document/d/1yUR3-AM5h17_vE96oriKuBq7cQyp2O8u2dFp-3_d-6s/edit?usp=drivesdk" TargetMode="External"/><Relationship Id="rId81" Type="http://schemas.openxmlformats.org/officeDocument/2006/relationships/hyperlink" Target="https://docs.google.com/document/d/17Bj8hAbNFYxOWr26fWLZrSBkAOiEi1w0sjNB6G_VIe8/edit?usp=drivesdk" TargetMode="External"/><Relationship Id="rId1" Type="http://schemas.openxmlformats.org/officeDocument/2006/relationships/hyperlink" Target="https://docs.google.com/document/d/1dmev_GQJ0mg9l3ezekcURFQYvuEYXMLa2BdjGtJmAbo/edit?usp=drivesdk" TargetMode="External"/><Relationship Id="rId2" Type="http://schemas.openxmlformats.org/officeDocument/2006/relationships/hyperlink" Target="https://docs.google.com/document/d/1cvwFXuYiMhddCGiMutE2k1H0tXDqnEVsWdreepKjVPU/edit?usp=drivesdk" TargetMode="External"/><Relationship Id="rId3" Type="http://schemas.openxmlformats.org/officeDocument/2006/relationships/hyperlink" Target="https://docs.google.com/document/d/1n3_Fec6pgoSzgftzSq0yzn1Rw1KAPwrQhYGsRFRvRYM/edit?usp=drivesdk" TargetMode="External"/><Relationship Id="rId149" Type="http://schemas.openxmlformats.org/officeDocument/2006/relationships/hyperlink" Target="https://docs.google.com/document/d/1ts5rSIwP9Ec5-rfyt3TqWs7yR9OXNdgoalxF_NYrWcg/edit?usp=drivesdk" TargetMode="External"/><Relationship Id="rId4" Type="http://schemas.openxmlformats.org/officeDocument/2006/relationships/hyperlink" Target="https://docs.google.com/document/d/16qTMlYQLAaqHqAkKwSPp4MzZupPMpfpQN4r-gWdgaFI/edit?usp=drivesdk" TargetMode="External"/><Relationship Id="rId148" Type="http://schemas.openxmlformats.org/officeDocument/2006/relationships/hyperlink" Target="https://docs.google.com/document/d/1ZOmRykzpUA4-AUXRp9zgRMAve1j0rvk2YHUmZaHIb8E/edit?usp=drivesdk" TargetMode="External"/><Relationship Id="rId9" Type="http://schemas.openxmlformats.org/officeDocument/2006/relationships/hyperlink" Target="https://docs.google.com/document/d/134DQTA20DEKYh_Elt6o0ib8iYHsR9tVluDzRll_NwdM/edit?usp=drivesdk" TargetMode="External"/><Relationship Id="rId143" Type="http://schemas.openxmlformats.org/officeDocument/2006/relationships/hyperlink" Target="https://docs.google.com/document/d/1evpzQSVY7BrhTqw4j6tCBTPSI7JwDov-eKcrfFYs53Q/edit?usp=drivesdk" TargetMode="External"/><Relationship Id="rId142" Type="http://schemas.openxmlformats.org/officeDocument/2006/relationships/hyperlink" Target="https://docs.google.com/document/d/1nks0kgCuuGY3KIcr6P5Calj1HoEO8BUhOqMt4rdgmxg/edit?usp=drivesdk" TargetMode="External"/><Relationship Id="rId141" Type="http://schemas.openxmlformats.org/officeDocument/2006/relationships/hyperlink" Target="https://docs.google.com/document/d/1wzz4_YSXmtJeBxBuM_w_Z8Vq_vZcrVF53kbW--D1HWo/edit?usp=drivesdk" TargetMode="External"/><Relationship Id="rId140" Type="http://schemas.openxmlformats.org/officeDocument/2006/relationships/hyperlink" Target="https://docs.google.com/document/d/1xYknSZMSrbSjCBwFOJW05W-6Mi5weZmmHAifBoBb4Wo/edit?usp=drivesdk" TargetMode="External"/><Relationship Id="rId5" Type="http://schemas.openxmlformats.org/officeDocument/2006/relationships/hyperlink" Target="https://docs.google.com/document/d/1yRKR1mXZsEnrxYk4R1tnpGi2LfoWPiixxqGLzYcQ3D8/edit?usp=drivesdk" TargetMode="External"/><Relationship Id="rId147" Type="http://schemas.openxmlformats.org/officeDocument/2006/relationships/hyperlink" Target="https://docs.google.com/document/d/1BDb7uDR1V6R_rgmBsleDWDFbA2zatK5k0DXs2weHhq0/edit?usp=drivesdk" TargetMode="External"/><Relationship Id="rId6" Type="http://schemas.openxmlformats.org/officeDocument/2006/relationships/hyperlink" Target="https://docs.google.com/document/d/1ZrB4vFsop1zCvsP2wg07pGatpAaz0dazfNmjTEQZt_g/edit?usp=drivesdk" TargetMode="External"/><Relationship Id="rId146" Type="http://schemas.openxmlformats.org/officeDocument/2006/relationships/hyperlink" Target="https://docs.google.com/document/d/12ECTcePkvmcoyIAw5UErdFxnxL9vmw-33eNFCHo3z10/edit?usp=drivesdk" TargetMode="External"/><Relationship Id="rId7" Type="http://schemas.openxmlformats.org/officeDocument/2006/relationships/hyperlink" Target="https://docs.google.com/document/d/1cwb5HKyET9_cSgN8tYCljIsGZahwiNvqNr5-v3IM710/edit?usp=drivesdk" TargetMode="External"/><Relationship Id="rId145" Type="http://schemas.openxmlformats.org/officeDocument/2006/relationships/hyperlink" Target="https://docs.google.com/document/d/18sHkFNAPOZ8A7oubDgPz5H66xoOk93PGgZAkrBuO6m4/edit?usp=drivesdk" TargetMode="External"/><Relationship Id="rId8" Type="http://schemas.openxmlformats.org/officeDocument/2006/relationships/hyperlink" Target="https://docs.google.com/document/d/197mTcLR2GMkBme1rDXb5dwbmzCuapl9bwNFvv03ZZ30/edit?usp=drivesdk" TargetMode="External"/><Relationship Id="rId144" Type="http://schemas.openxmlformats.org/officeDocument/2006/relationships/hyperlink" Target="https://docs.google.com/document/d/1vXW-Efj3RRqhL0jQKAMd0cjM3oPeH47WZiMcQk8hvBE/edit?usp=drivesdk" TargetMode="External"/><Relationship Id="rId73" Type="http://schemas.openxmlformats.org/officeDocument/2006/relationships/hyperlink" Target="https://docs.google.com/document/d/1XxKMIgMO07a0P22cqjAwdDQdyOFr-nM7yCSmTdqkQD8/edit?usp=drivesdk" TargetMode="External"/><Relationship Id="rId72" Type="http://schemas.openxmlformats.org/officeDocument/2006/relationships/hyperlink" Target="https://docs.google.com/document/d/1QuDJcCTeUoMn6RRcF86lPV-md1Pfoqg3Nd5y6tJl9iI/edit?usp=drivesdk" TargetMode="External"/><Relationship Id="rId75" Type="http://schemas.openxmlformats.org/officeDocument/2006/relationships/hyperlink" Target="https://docs.google.com/document/d/1BPX6xDnhKQkWi39vRBZpPbsoHontKKoy81ju6zuc4wk/edit?usp=drivesdk" TargetMode="External"/><Relationship Id="rId74" Type="http://schemas.openxmlformats.org/officeDocument/2006/relationships/hyperlink" Target="https://docs.google.com/document/d/1PBHcxAJY7hqoY8r8GKKf7znW7TYJR9pOjNT3z75rsHU/edit?usp=drivesdk" TargetMode="External"/><Relationship Id="rId77" Type="http://schemas.openxmlformats.org/officeDocument/2006/relationships/hyperlink" Target="https://docs.google.com/document/d/1ugbW6OK1tSpaEIetchv_ESj7YLyJ53vhMyrxU3nVGjs/edit?usp=drivesdk" TargetMode="External"/><Relationship Id="rId76" Type="http://schemas.openxmlformats.org/officeDocument/2006/relationships/hyperlink" Target="https://docs.google.com/document/d/1d6uhy7mzj8rs208t3xvY3tVt5Ys-3T6s9q5bDd_SkaE/edit?usp=drivesdk" TargetMode="External"/><Relationship Id="rId79" Type="http://schemas.openxmlformats.org/officeDocument/2006/relationships/hyperlink" Target="https://docs.google.com/document/d/1aqCfbeXnXuMLvVgrNmWnAorbtoQG6vdVI8ZGFcmOwlQ/edit?usp=drivesdk" TargetMode="External"/><Relationship Id="rId78" Type="http://schemas.openxmlformats.org/officeDocument/2006/relationships/hyperlink" Target="https://docs.google.com/document/d/16bBViWDO8RMRRu4IGf_AVeDBsdUWx-HVWP0Mv9cZV6s/edit?usp=drivesdk" TargetMode="External"/><Relationship Id="rId71" Type="http://schemas.openxmlformats.org/officeDocument/2006/relationships/hyperlink" Target="https://docs.google.com/document/d/1WCG8pznu_RJFXr01fvQidqhhs8MM8GSXoZbhTdQStPc/edit?usp=drivesdk" TargetMode="External"/><Relationship Id="rId70" Type="http://schemas.openxmlformats.org/officeDocument/2006/relationships/hyperlink" Target="https://docs.google.com/document/d/12R6yyJY7dUCqeExP34iBKnQ93T7LDx59rgCJebeCwCA/edit?usp=drivesdk" TargetMode="External"/><Relationship Id="rId139" Type="http://schemas.openxmlformats.org/officeDocument/2006/relationships/hyperlink" Target="https://docs.google.com/document/d/1CF7nc3rUvwQDrsA2C6oFFHhQ9qdYcacFgudR43Wfic4/edit?usp=drivesdk" TargetMode="External"/><Relationship Id="rId138" Type="http://schemas.openxmlformats.org/officeDocument/2006/relationships/hyperlink" Target="https://docs.google.com/document/d/1gDYUvGURkmVT0lqExD6Je-FEvRYdUHLXQyoMSPSpXsg/edit?usp=drivesdk" TargetMode="External"/><Relationship Id="rId137" Type="http://schemas.openxmlformats.org/officeDocument/2006/relationships/hyperlink" Target="https://docs.google.com/document/d/1rVoj2WnVWU6HcrpzdvYe0AK7DZkyY3uArEa-YNrfXgI/edit?usp=drivesdk" TargetMode="External"/><Relationship Id="rId132" Type="http://schemas.openxmlformats.org/officeDocument/2006/relationships/hyperlink" Target="https://docs.google.com/document/d/1ok4sSbtGnp9LXkY_OQ4AZw9Cm8obxvpnZGIauCAdN4E/edit?usp=drivesdk" TargetMode="External"/><Relationship Id="rId131" Type="http://schemas.openxmlformats.org/officeDocument/2006/relationships/hyperlink" Target="https://docs.google.com/document/d/15TRHvUubViHfb6EhWrjgwdy_nf0X9HcHC1cteLrYgYM/edit?usp=drivesdk" TargetMode="External"/><Relationship Id="rId130" Type="http://schemas.openxmlformats.org/officeDocument/2006/relationships/hyperlink" Target="https://docs.google.com/document/d/1S_qfu_TK2CSOuJONPKaRKF2ozsq9Xx_FbYvShQAap-U/edit?usp=drivesdk" TargetMode="External"/><Relationship Id="rId136" Type="http://schemas.openxmlformats.org/officeDocument/2006/relationships/hyperlink" Target="https://docs.google.com/document/d/1SoCcLCwnKiI4isJ0DjgGIEieQFPE8tZkXhkretTATl4/edit?usp=drivesdk" TargetMode="External"/><Relationship Id="rId135" Type="http://schemas.openxmlformats.org/officeDocument/2006/relationships/hyperlink" Target="https://docs.google.com/document/d/1rOkl5JuhzbkYKlgz8vrbU6VvTJ0G0plfFduPnEk61Hk/edit?usp=drivesdk" TargetMode="External"/><Relationship Id="rId134" Type="http://schemas.openxmlformats.org/officeDocument/2006/relationships/hyperlink" Target="https://docs.google.com/document/d/1DngyFKthTs3S6aL69uUftIkgI0ysfUfK6GZoS8Xwu0A/edit?usp=drivesdk" TargetMode="External"/><Relationship Id="rId133" Type="http://schemas.openxmlformats.org/officeDocument/2006/relationships/hyperlink" Target="https://docs.google.com/document/d/12g8XbUv2qEAk7r9r9mxWmmYj2GLHErktcuiCZZ4Joyk/edit?usp=drivesdk" TargetMode="External"/><Relationship Id="rId62" Type="http://schemas.openxmlformats.org/officeDocument/2006/relationships/hyperlink" Target="https://docs.google.com/document/d/1AXyh-D27RbgoyV-ulcT5YB4SxlPuVmMuHWMQCmCxVg8/edit?usp=drivesdk" TargetMode="External"/><Relationship Id="rId61" Type="http://schemas.openxmlformats.org/officeDocument/2006/relationships/hyperlink" Target="https://docs.google.com/document/d/1pr0Tic_zMfG1y9tGm8fFKmOPUH851wROIcddyHBc8DU/edit?usp=drivesdk" TargetMode="External"/><Relationship Id="rId64" Type="http://schemas.openxmlformats.org/officeDocument/2006/relationships/hyperlink" Target="https://docs.google.com/document/d/1VOO6XMmxPztY6KhGVqQRF2ROUayO3X4-ePG9Orv3gDY/edit?usp=drivesdk" TargetMode="External"/><Relationship Id="rId63" Type="http://schemas.openxmlformats.org/officeDocument/2006/relationships/hyperlink" Target="https://docs.google.com/document/d/1oHGgf1-gSZn-LvQsW1MlJPJFKVB2F5liMPGspPO2l7g/edit?usp=drivesdk" TargetMode="External"/><Relationship Id="rId66" Type="http://schemas.openxmlformats.org/officeDocument/2006/relationships/hyperlink" Target="https://docs.google.com/document/d/1IdP4yCHBzwtIeB5FhW8KC1KPBKHlxLL6aYLyL9rqpvM/edit?usp=drivesdk" TargetMode="External"/><Relationship Id="rId172" Type="http://schemas.openxmlformats.org/officeDocument/2006/relationships/hyperlink" Target="https://docs.google.com/document/d/1yJnL_KIjCXQ6nowmtN0nVbB5O_uJZi3CBEf-GirRUpo/edit?usp=drivesdk" TargetMode="External"/><Relationship Id="rId65" Type="http://schemas.openxmlformats.org/officeDocument/2006/relationships/hyperlink" Target="https://docs.google.com/document/d/1QytXdUcnbpfg7gYex_5QAKFU2V9jsHg1ouiFFrVs7dA/edit?usp=drivesdk" TargetMode="External"/><Relationship Id="rId171" Type="http://schemas.openxmlformats.org/officeDocument/2006/relationships/hyperlink" Target="https://docs.google.com/document/d/193SORDbBXg8pfqWElTtsX9r6ybAgB0Gm27Bx8oz1rQk/edit?usp=drivesdk" TargetMode="External"/><Relationship Id="rId68" Type="http://schemas.openxmlformats.org/officeDocument/2006/relationships/hyperlink" Target="https://docs.google.com/document/d/1v8OKxp0JNZ--p3AYGCpL5uWUfPjZwRtevaR-D6Mm088/edit?usp=drivesdk" TargetMode="External"/><Relationship Id="rId170" Type="http://schemas.openxmlformats.org/officeDocument/2006/relationships/hyperlink" Target="https://docs.google.com/document/d/14OaTn3iOo3byiAgb8M-6BX4fjPENIBzGS1QTj8pKmsk/edit?usp=drivesdk" TargetMode="External"/><Relationship Id="rId67" Type="http://schemas.openxmlformats.org/officeDocument/2006/relationships/hyperlink" Target="https://docs.google.com/document/d/1ljhZLpyrpR5oulXvSL45Fru-886Nm4LAJbqMTWw-j54/edit?usp=drivesdk" TargetMode="External"/><Relationship Id="rId60" Type="http://schemas.openxmlformats.org/officeDocument/2006/relationships/hyperlink" Target="https://docs.google.com/document/d/1wPhf2z8R5HOkzvXWYwx3D6EgZLnx2EtZiQyEMuoCcos/edit?usp=drivesdk" TargetMode="External"/><Relationship Id="rId165" Type="http://schemas.openxmlformats.org/officeDocument/2006/relationships/hyperlink" Target="https://docs.google.com/document/d/1eMdIDZC8bnOGGidBer4sZKE8nqV_dm-EA_JnIuhhQCM/edit?usp=drivesdk" TargetMode="External"/><Relationship Id="rId69" Type="http://schemas.openxmlformats.org/officeDocument/2006/relationships/hyperlink" Target="https://docs.google.com/document/d/1IhqkkTBA-YmeRA5qfqz-RKPFfEzgbGyIG8btZENtoK8/edit?usp=drivesdk" TargetMode="External"/><Relationship Id="rId164" Type="http://schemas.openxmlformats.org/officeDocument/2006/relationships/hyperlink" Target="https://docs.google.com/document/d/1PSXV9rIR-kSySieE5xELTJQG_-92gqgX4w6SRiyBlAc/edit?usp=drivesdk" TargetMode="External"/><Relationship Id="rId163" Type="http://schemas.openxmlformats.org/officeDocument/2006/relationships/hyperlink" Target="https://docs.google.com/document/d/1iXtyH1XYN9-4_ZjOS0tY7CxLyTagwsSvd7HAy3cSvyg/edit?usp=drivesdk" TargetMode="External"/><Relationship Id="rId162" Type="http://schemas.openxmlformats.org/officeDocument/2006/relationships/hyperlink" Target="https://docs.google.com/document/d/13h7XuInSraU3NdqBDwPkSM7OWIXPYLJKC6-QXZRxYxo/edit?usp=drivesdk" TargetMode="External"/><Relationship Id="rId169" Type="http://schemas.openxmlformats.org/officeDocument/2006/relationships/hyperlink" Target="https://docs.google.com/document/d/1aVj2LBXuvlHYA8SBTL4JNXKvk8ubMRt7B3le1kEnl88/edit?usp=drivesdk" TargetMode="External"/><Relationship Id="rId168" Type="http://schemas.openxmlformats.org/officeDocument/2006/relationships/hyperlink" Target="https://docs.google.com/document/d/1hW7oYaiBLyVBEtOPTXiUfvYVO_U2XvnlKXFLG7T7b7U/edit?usp=drivesdk" TargetMode="External"/><Relationship Id="rId167" Type="http://schemas.openxmlformats.org/officeDocument/2006/relationships/hyperlink" Target="https://docs.google.com/document/d/1R7s4sHkgD3qfoJlB-5jW1C66IpW8_-wBbg65CprcPg4/edit?usp=drivesdk" TargetMode="External"/><Relationship Id="rId166" Type="http://schemas.openxmlformats.org/officeDocument/2006/relationships/hyperlink" Target="https://docs.google.com/document/d/1YqtcJaLCzuCZEz57uGtjUgLJECwooWQ3_5cQgxY0rqw/edit?usp=drivesdk" TargetMode="External"/><Relationship Id="rId51" Type="http://schemas.openxmlformats.org/officeDocument/2006/relationships/hyperlink" Target="https://docs.google.com/document/d/17sVvGPzC5JHoZ86C8yNgGYYUCJr5YM3MhRK_3tgg4Zk/edit?usp=drivesdk" TargetMode="External"/><Relationship Id="rId50" Type="http://schemas.openxmlformats.org/officeDocument/2006/relationships/hyperlink" Target="https://docs.google.com/document/d/1aeTR-RkYd4M-16BdzMWiF_S3lwQYl5WtC_8_7PJzcgs/edit?usp=drivesdk" TargetMode="External"/><Relationship Id="rId53" Type="http://schemas.openxmlformats.org/officeDocument/2006/relationships/hyperlink" Target="https://docs.google.com/document/d/1xVWIf2zEFxQZGYAgsbPjnUqhMI8emZuGDgGLhX-Q3NI/edit?usp=drivesdk" TargetMode="External"/><Relationship Id="rId52" Type="http://schemas.openxmlformats.org/officeDocument/2006/relationships/hyperlink" Target="https://docs.google.com/document/d/1GnEOrifDV2Lj6wF__QMZYJcxe3fh33VDbr0PjbK26qU/edit?usp=drivesdk" TargetMode="External"/><Relationship Id="rId55" Type="http://schemas.openxmlformats.org/officeDocument/2006/relationships/hyperlink" Target="https://docs.google.com/document/d/18Is8kib9gMardz2eBMKlID9vkuLMTyl8s8QEQaNLncE/edit?usp=drivesdk" TargetMode="External"/><Relationship Id="rId161" Type="http://schemas.openxmlformats.org/officeDocument/2006/relationships/hyperlink" Target="https://docs.google.com/document/d/1N4VFPdPfR9T8c1LAZkJTaz7H3tKVyBgoVTxm862i0jM/edit?usp=drivesdk" TargetMode="External"/><Relationship Id="rId54" Type="http://schemas.openxmlformats.org/officeDocument/2006/relationships/hyperlink" Target="https://docs.google.com/document/d/1zIeY8YSRt_4nW9pYI4SK-cGtOkD-5t_zk_u1ThirGus/edit?usp=drivesdk" TargetMode="External"/><Relationship Id="rId160" Type="http://schemas.openxmlformats.org/officeDocument/2006/relationships/hyperlink" Target="https://docs.google.com/document/d/17ID81UypfHjLtIZXTTEJBEtRJDQEBqanyO4JNiBzpbU/edit?usp=drivesdk" TargetMode="External"/><Relationship Id="rId57" Type="http://schemas.openxmlformats.org/officeDocument/2006/relationships/hyperlink" Target="https://docs.google.com/document/d/1KCB42EP3sMFEincCP-2Xt-oCAq7GU3lBG33Ob_vfVz4/edit?usp=drivesdk" TargetMode="External"/><Relationship Id="rId56" Type="http://schemas.openxmlformats.org/officeDocument/2006/relationships/hyperlink" Target="https://docs.google.com/document/d/1jvWKNKqf8fhII4RbpFnN3cdFf4bfx5WKCGMfhFyZ5wI/edit?usp=drivesdk" TargetMode="External"/><Relationship Id="rId159" Type="http://schemas.openxmlformats.org/officeDocument/2006/relationships/hyperlink" Target="https://docs.google.com/document/d/1Du7_9YI8EOZei9rl6pP-icTzhf6KjvbJrCockwtWjoM/edit?usp=drivesdk" TargetMode="External"/><Relationship Id="rId59" Type="http://schemas.openxmlformats.org/officeDocument/2006/relationships/hyperlink" Target="https://docs.google.com/document/d/14WnAj6Ou_AEtBO625E3lo9hhxuf57kS_io4uOwj8Vcs/edit?usp=drivesdk" TargetMode="External"/><Relationship Id="rId154" Type="http://schemas.openxmlformats.org/officeDocument/2006/relationships/hyperlink" Target="https://docs.google.com/document/d/1aK_PC7QfiezWXeQlI4sDBckvGytzXHPjCIMWWqOv2VY/edit?usp=drivesdk" TargetMode="External"/><Relationship Id="rId58" Type="http://schemas.openxmlformats.org/officeDocument/2006/relationships/hyperlink" Target="https://docs.google.com/document/d/1SUh7eIDdHc1LF6l5w7-96I52ogGgSTzWrRntcjFwuM0/edit?usp=drivesdk" TargetMode="External"/><Relationship Id="rId153" Type="http://schemas.openxmlformats.org/officeDocument/2006/relationships/hyperlink" Target="https://docs.google.com/document/d/1RgI1p2HitBQgTZq4FsSaStQDbxjZQu-4P92D7D5Ya48/edit?usp=drivesdk" TargetMode="External"/><Relationship Id="rId152" Type="http://schemas.openxmlformats.org/officeDocument/2006/relationships/hyperlink" Target="https://docs.google.com/document/d/1ZRnudL3cAZ66kL3qaL0m7ep4ZIYzcxd0tGvmopK6ftY/edit?usp=drivesdk" TargetMode="External"/><Relationship Id="rId151" Type="http://schemas.openxmlformats.org/officeDocument/2006/relationships/hyperlink" Target="https://docs.google.com/document/d/1PDpCmRgTiQlP_KKP2FmZuqqo3XBYWgj76AZfRkI7zZw/edit?usp=drivesdk" TargetMode="External"/><Relationship Id="rId158" Type="http://schemas.openxmlformats.org/officeDocument/2006/relationships/hyperlink" Target="https://docs.google.com/document/d/1UPidMi-l1jfFnFYJf436cn4n-EESa9xtpvwSXJDz7fU/edit?usp=drivesdk" TargetMode="External"/><Relationship Id="rId157" Type="http://schemas.openxmlformats.org/officeDocument/2006/relationships/hyperlink" Target="https://docs.google.com/document/d/1qHa86qn6dpaR12fgzzrg6GM9L9cONWup5NrM9ZmZHaQ/edit?usp=drivesdk" TargetMode="External"/><Relationship Id="rId156" Type="http://schemas.openxmlformats.org/officeDocument/2006/relationships/hyperlink" Target="https://docs.google.com/document/d/1G8tYGe5uJ3NzdopK7G0OKfa2c6Yrmlc_Ev5M81jv_uI/edit?usp=drivesdk" TargetMode="External"/><Relationship Id="rId155" Type="http://schemas.openxmlformats.org/officeDocument/2006/relationships/hyperlink" Target="https://docs.google.com/document/d/1fS3d-Yfqa9BM3NHuM7Qdp6AI6v2bRXC8pIZ8FrlX1T4/edit?usp=drivesdk" TargetMode="External"/><Relationship Id="rId107" Type="http://schemas.openxmlformats.org/officeDocument/2006/relationships/hyperlink" Target="https://docs.google.com/document/d/18cHh9t5a-lF1v7IqbfWQktcaKbDF-fd6g712LOvA2Jc/edit?usp=drivesdk" TargetMode="External"/><Relationship Id="rId106" Type="http://schemas.openxmlformats.org/officeDocument/2006/relationships/hyperlink" Target="https://docs.google.com/document/d/1SDOdMSrUkpxGUNORtzRD2qpmfu8PIF2yhEstF-T6kYQ/edit?usp=drivesdk" TargetMode="External"/><Relationship Id="rId105" Type="http://schemas.openxmlformats.org/officeDocument/2006/relationships/hyperlink" Target="https://docs.google.com/document/d/1AQPAPD8IefUdo1FhjsiGJ6e6OoxmminINRDL3XNxU4c/edit?usp=drivesdk" TargetMode="External"/><Relationship Id="rId104" Type="http://schemas.openxmlformats.org/officeDocument/2006/relationships/hyperlink" Target="https://docs.google.com/document/d/14uf81kCD6S2uGNWKnukfPbVQEdOLxQxN0lS7doaXt9U/edit?usp=drivesdk" TargetMode="External"/><Relationship Id="rId109" Type="http://schemas.openxmlformats.org/officeDocument/2006/relationships/hyperlink" Target="https://docs.google.com/document/d/1qEpSShbGNpcSNhGx5CKhssxS_OrG1cccK6JH_MCwexo/edit?usp=drivesdk" TargetMode="External"/><Relationship Id="rId108" Type="http://schemas.openxmlformats.org/officeDocument/2006/relationships/hyperlink" Target="https://docs.google.com/document/d/1AUsx-5O8-mtreRJaXtLO6N0ytrSdujyaJWCoPgcV8Cg/edit?usp=drivesdk" TargetMode="External"/><Relationship Id="rId220" Type="http://schemas.openxmlformats.org/officeDocument/2006/relationships/drawing" Target="../drawings/drawing5.xml"/><Relationship Id="rId103" Type="http://schemas.openxmlformats.org/officeDocument/2006/relationships/hyperlink" Target="https://docs.google.com/document/d/1zNDxmoP-47Pej6Nuxw_x5bOHmMl5AjDY7EUOGwktpgQ/edit?usp=drivesdk" TargetMode="External"/><Relationship Id="rId102" Type="http://schemas.openxmlformats.org/officeDocument/2006/relationships/hyperlink" Target="https://docs.google.com/document/d/1sDteUMcMjH5HyKriR1ZuYdvw-nhm_Im7AL1Tw08ct1g/edit?usp=drivesdk" TargetMode="External"/><Relationship Id="rId101" Type="http://schemas.openxmlformats.org/officeDocument/2006/relationships/hyperlink" Target="https://docs.google.com/document/d/19G3OOWIFPfZDlS021tDO72_FbplPIl6xjCYPMcWDyvE/edit?usp=drivesdk" TargetMode="External"/><Relationship Id="rId100" Type="http://schemas.openxmlformats.org/officeDocument/2006/relationships/hyperlink" Target="https://docs.google.com/document/d/1OFrMsse2HWz4YT66qbfgik7P68P0kLeaTxdtaCo4Npc/edit?usp=drivesdk" TargetMode="External"/><Relationship Id="rId217" Type="http://schemas.openxmlformats.org/officeDocument/2006/relationships/hyperlink" Target="https://docs.google.com/document/d/1qemi6tlfLi5bewSG0f6ubqNfo0Lpp10rOWlPkCP-FIY/edit?usp=drivesdk" TargetMode="External"/><Relationship Id="rId216" Type="http://schemas.openxmlformats.org/officeDocument/2006/relationships/hyperlink" Target="https://docs.google.com/document/d/1WIV5scKy2fi-BAJeTMAUwasMCN_3Lu-HVKOVYKoLSiI/edit?usp=drivesdk" TargetMode="External"/><Relationship Id="rId215" Type="http://schemas.openxmlformats.org/officeDocument/2006/relationships/hyperlink" Target="https://docs.google.com/document/d/19K4k8hdkBHomjJStA0pXdkQ5H_C7v1uZTzLGxPF3jeg/edit?usp=drivesdk" TargetMode="External"/><Relationship Id="rId214" Type="http://schemas.openxmlformats.org/officeDocument/2006/relationships/hyperlink" Target="https://docs.google.com/document/d/1p1cPAzwWe4GL73-oatcFurnRxnkt59rD0kibpZlwYU4/edit?usp=drivesdk" TargetMode="External"/><Relationship Id="rId219" Type="http://schemas.openxmlformats.org/officeDocument/2006/relationships/hyperlink" Target="https://docs.google.com/document/d/1qiUvw1Q1kYlSHD5djgC_w9v8F_ouC-weT4IVOiyrtiw/edit?usp=drivesdk" TargetMode="External"/><Relationship Id="rId218" Type="http://schemas.openxmlformats.org/officeDocument/2006/relationships/hyperlink" Target="https://docs.google.com/document/d/1sw7Cdj1lwDYZcZf2fzCq40Z4jm6ZXfB-FUeLUlxFkbg/edit?usp=drivesdk" TargetMode="External"/><Relationship Id="rId213" Type="http://schemas.openxmlformats.org/officeDocument/2006/relationships/hyperlink" Target="https://docs.google.com/document/d/13i-HEE_Al1mLLNQsRohFduVXXLqEwYOL_o2-rKJFP1g/edit?usp=drivesdk" TargetMode="External"/><Relationship Id="rId212" Type="http://schemas.openxmlformats.org/officeDocument/2006/relationships/hyperlink" Target="https://docs.google.com/document/d/1Yug9vkwid6Z8F0FT-Ftivfzcp7AX3E2aXD3-kzkqPPw/edit?usp=drivesdk" TargetMode="External"/><Relationship Id="rId211" Type="http://schemas.openxmlformats.org/officeDocument/2006/relationships/hyperlink" Target="https://docs.google.com/document/d/1nRCa1KBAcYCfuwv5KsA3-uvu6ml1gAKtFrGkE6TTlbE/edit?usp=drivesdk" TargetMode="External"/><Relationship Id="rId210" Type="http://schemas.openxmlformats.org/officeDocument/2006/relationships/hyperlink" Target="https://docs.google.com/document/d/1cFKoiLiv8K6eSF-27wUQ47ISVy4JB-aDPNKd8jCANOQ/edit?usp=drivesdk" TargetMode="External"/><Relationship Id="rId129" Type="http://schemas.openxmlformats.org/officeDocument/2006/relationships/hyperlink" Target="https://docs.google.com/document/d/1xdxuPONePte1ClxC9u87fFxzMTGSLnAhyWqg89jkhWU/edit?usp=drivesdk" TargetMode="External"/><Relationship Id="rId128" Type="http://schemas.openxmlformats.org/officeDocument/2006/relationships/hyperlink" Target="https://docs.google.com/document/d/19BOiSXq3TOSoTIGX6bG2qUewcPWjep-oSzP-P7N0I5s/edit?usp=drivesdk" TargetMode="External"/><Relationship Id="rId127" Type="http://schemas.openxmlformats.org/officeDocument/2006/relationships/hyperlink" Target="https://docs.google.com/document/d/1JZ0n8_iuRUwj8AgjFshL46Ydn8QKpTet3poQ14XOJbQ/edit?usp=drivesdk" TargetMode="External"/><Relationship Id="rId126" Type="http://schemas.openxmlformats.org/officeDocument/2006/relationships/hyperlink" Target="https://docs.google.com/document/d/1xIPmH0BPQoKtylhsVH4v-R9JN85hqI0DwbFRp2DWZX0/edit?usp=drivesdk" TargetMode="External"/><Relationship Id="rId121" Type="http://schemas.openxmlformats.org/officeDocument/2006/relationships/hyperlink" Target="https://docs.google.com/document/d/1YHxzoTVmOziUzvuXQ2A-qFIEaGI2WRMOQDIWNxhFTVc/edit?usp=drivesdk" TargetMode="External"/><Relationship Id="rId120" Type="http://schemas.openxmlformats.org/officeDocument/2006/relationships/hyperlink" Target="https://docs.google.com/document/d/1W2fvc2uVLKBWBIVH6kVbHKgXUPl7ru7xWtmTBXLj904/edit?usp=drivesdk" TargetMode="External"/><Relationship Id="rId125" Type="http://schemas.openxmlformats.org/officeDocument/2006/relationships/hyperlink" Target="https://docs.google.com/document/d/1KKUnF2tSLr4XOUZW2Md5S0DgPd1qRnrKfyY5teMQdBc/edit?usp=drivesdk" TargetMode="External"/><Relationship Id="rId124" Type="http://schemas.openxmlformats.org/officeDocument/2006/relationships/hyperlink" Target="https://docs.google.com/document/d/1-hP-QR9R6OqNFFgxT-uE40Cb4TRgPk-VW3J-fNGKOLs/edit?usp=drivesdk" TargetMode="External"/><Relationship Id="rId123" Type="http://schemas.openxmlformats.org/officeDocument/2006/relationships/hyperlink" Target="https://docs.google.com/document/d/1ZKTbw_ffNQ-A41YL4VegFWimWXUIfcaez3zxwOyBCfk/edit?usp=drivesdk" TargetMode="External"/><Relationship Id="rId122" Type="http://schemas.openxmlformats.org/officeDocument/2006/relationships/hyperlink" Target="https://docs.google.com/document/d/16Xd-7VLim2JwI6D8D--_ZuBtF62KFYxzEs31yxZ__Pc/edit?usp=drivesdk" TargetMode="External"/><Relationship Id="rId95" Type="http://schemas.openxmlformats.org/officeDocument/2006/relationships/hyperlink" Target="https://docs.google.com/document/d/1so9kzlMZZdhEuUIOqDrNt6QUt0kwPmc8ZiAca_7-V0s/edit?usp=drivesdk" TargetMode="External"/><Relationship Id="rId94" Type="http://schemas.openxmlformats.org/officeDocument/2006/relationships/hyperlink" Target="https://docs.google.com/document/d/1QX3_1Ww_7gUv3ucoqEz7AeX1cQH4JgOdxvahsj49Xn0/edit?usp=drivesdk" TargetMode="External"/><Relationship Id="rId97" Type="http://schemas.openxmlformats.org/officeDocument/2006/relationships/hyperlink" Target="https://docs.google.com/document/d/1AGxlRslcq3kaoQIdp4kvbCiaMqdt-NRfuDJEnRJRPDs/edit?usp=drivesdk" TargetMode="External"/><Relationship Id="rId96" Type="http://schemas.openxmlformats.org/officeDocument/2006/relationships/hyperlink" Target="https://docs.google.com/document/d/1DTF2RHzeo4A7aTSZs3g6hLKee8-x2gsoDdz2MfSoIkw/edit?usp=drivesdk" TargetMode="External"/><Relationship Id="rId99" Type="http://schemas.openxmlformats.org/officeDocument/2006/relationships/hyperlink" Target="https://docs.google.com/document/d/1X8GkUDJgIiAzx-ef9WT4CS3m0W7ykugddAsk7-8eSU8/edit?usp=drivesdk" TargetMode="External"/><Relationship Id="rId98" Type="http://schemas.openxmlformats.org/officeDocument/2006/relationships/hyperlink" Target="https://docs.google.com/document/d/1TI7yEfz7viBJtccIxqFqpxfQEFkzobvguBg860QmMPM/edit?usp=drivesdk" TargetMode="External"/><Relationship Id="rId91" Type="http://schemas.openxmlformats.org/officeDocument/2006/relationships/hyperlink" Target="https://docs.google.com/document/d/1rBP_V42HaFQ5_6O0vB4qO8Uq3DwHZyBK2zw_IuOGsgo/edit?usp=drivesdk" TargetMode="External"/><Relationship Id="rId90" Type="http://schemas.openxmlformats.org/officeDocument/2006/relationships/hyperlink" Target="https://docs.google.com/document/d/1Sydu5NRnCGt4X3fkUr_F0mIs6abTZcO8kONFZ9QdzMw/edit?usp=drivesdk" TargetMode="External"/><Relationship Id="rId93" Type="http://schemas.openxmlformats.org/officeDocument/2006/relationships/hyperlink" Target="https://docs.google.com/document/d/19b9dj1P8VmvjLR7Dn1Adb3YqwbRGvTGswhzKEMRYvh0/edit?usp=drivesdk" TargetMode="External"/><Relationship Id="rId92" Type="http://schemas.openxmlformats.org/officeDocument/2006/relationships/hyperlink" Target="https://docs.google.com/document/d/1lZ8SZkqTuGmONy5Nh_W3rrUj2Yr0ozOvwmrqjrb9QxQ/edit?usp=drivesdk" TargetMode="External"/><Relationship Id="rId118" Type="http://schemas.openxmlformats.org/officeDocument/2006/relationships/hyperlink" Target="https://docs.google.com/document/d/1EvuNCrEQ6nyuvsTetXeEGFuRBNi5ObYJCAx9U4sLJiY/edit?usp=drivesdk" TargetMode="External"/><Relationship Id="rId117" Type="http://schemas.openxmlformats.org/officeDocument/2006/relationships/hyperlink" Target="https://docs.google.com/document/d/10b_wV405YqMII4Z71pbhoZ83myl2gNGa58tajO24BZk/edit?usp=drivesdk" TargetMode="External"/><Relationship Id="rId116" Type="http://schemas.openxmlformats.org/officeDocument/2006/relationships/hyperlink" Target="https://docs.google.com/document/d/1M-Fz7jZVFMeFd2fIzI5Zb-nb_WqOCdmpeznzkslZ8QY/edit?usp=drivesdk" TargetMode="External"/><Relationship Id="rId115" Type="http://schemas.openxmlformats.org/officeDocument/2006/relationships/hyperlink" Target="https://docs.google.com/document/d/1jf_Ci6pOruEEXZP7yCHVZrM9rxaPFiGvzzqW2A9XzkQ/edit?usp=drivesdk" TargetMode="External"/><Relationship Id="rId119" Type="http://schemas.openxmlformats.org/officeDocument/2006/relationships/hyperlink" Target="https://docs.google.com/document/d/1XpJ9QowT3ul5WHZ9oxZ02QqDpVpXTdGpIB9J2kajYd0/edit?usp=drivesdk" TargetMode="External"/><Relationship Id="rId110" Type="http://schemas.openxmlformats.org/officeDocument/2006/relationships/hyperlink" Target="https://docs.google.com/document/d/1VQGQtqMVEjpVuS0uGEn8LLx5qvDbRbxotxmhFNMRC6E/edit?usp=drivesdk" TargetMode="External"/><Relationship Id="rId114" Type="http://schemas.openxmlformats.org/officeDocument/2006/relationships/hyperlink" Target="https://docs.google.com/document/d/1T2L0q_TnV1-O2t97bc4z8-ZuicVCCLXuVdvOFGAwX3U/edit?usp=drivesdk" TargetMode="External"/><Relationship Id="rId113" Type="http://schemas.openxmlformats.org/officeDocument/2006/relationships/hyperlink" Target="https://docs.google.com/document/d/1AIayQtIFHWF8qBylnsWRXaywNg56K0KJYyUii6hiI7s/edit?usp=drivesdk" TargetMode="External"/><Relationship Id="rId112" Type="http://schemas.openxmlformats.org/officeDocument/2006/relationships/hyperlink" Target="https://docs.google.com/document/d/1xrMNtOmv-oFExggpkMvTiuNV4JF7lJcmqhSlsU9aIuI/edit?usp=drivesdk" TargetMode="External"/><Relationship Id="rId111" Type="http://schemas.openxmlformats.org/officeDocument/2006/relationships/hyperlink" Target="https://docs.google.com/document/d/1aUTSee-Greone5HFz6RJkqhAfg5NKwUlfm7jaJzkn6E/edit?usp=drivesdk" TargetMode="External"/><Relationship Id="rId206" Type="http://schemas.openxmlformats.org/officeDocument/2006/relationships/hyperlink" Target="https://docs.google.com/document/d/1dHMKxcwdBoagk66ECUL81cP2xEB-waEj9E45U3-FKKI/edit?usp=drivesdk" TargetMode="External"/><Relationship Id="rId205" Type="http://schemas.openxmlformats.org/officeDocument/2006/relationships/hyperlink" Target="https://docs.google.com/document/d/1oYHZT_MHUrnJICmeOTY9qMk0SZtMbZPcEkdKY6WG6Qg/edit?usp=drivesdk" TargetMode="External"/><Relationship Id="rId204" Type="http://schemas.openxmlformats.org/officeDocument/2006/relationships/hyperlink" Target="https://docs.google.com/document/d/1GUvh_yfZE9P38JvspHHv-Ic1pYD6yFfavye34qkq4q4/edit?usp=drivesdk" TargetMode="External"/><Relationship Id="rId203" Type="http://schemas.openxmlformats.org/officeDocument/2006/relationships/hyperlink" Target="https://docs.google.com/document/d/1vIZeq9ufAZxMOfKH9wvDgFGv8IMgK9dIVRO97uJqx5Q/edit?usp=drivesdk" TargetMode="External"/><Relationship Id="rId209" Type="http://schemas.openxmlformats.org/officeDocument/2006/relationships/hyperlink" Target="https://docs.google.com/document/d/13lwkoqvePYZICazsD_0uCHatIMHTjDGG_JYoiQDQYcA/edit?usp=drivesdk" TargetMode="External"/><Relationship Id="rId208" Type="http://schemas.openxmlformats.org/officeDocument/2006/relationships/hyperlink" Target="https://docs.google.com/document/d/1fctIpCs0EJrH3_8d5vAcPkoa1yvDf0--rtT4NDY4zak/edit?usp=drivesdk" TargetMode="External"/><Relationship Id="rId207" Type="http://schemas.openxmlformats.org/officeDocument/2006/relationships/hyperlink" Target="https://docs.google.com/document/d/1DFgKjI5AYduDkqrZxxllQPpcq5mgBI6yiEt4fcyBX6Q/edit?usp=drivesdk" TargetMode="External"/><Relationship Id="rId202" Type="http://schemas.openxmlformats.org/officeDocument/2006/relationships/hyperlink" Target="https://docs.google.com/document/d/1R2niGGHasE0rrs1Cc_kCudfY6V6RNcLow_7DO3P4Isc/edit?usp=drivesdk" TargetMode="External"/><Relationship Id="rId201" Type="http://schemas.openxmlformats.org/officeDocument/2006/relationships/hyperlink" Target="https://docs.google.com/document/d/15oPz3Vf9g7BQJp2StBgn95AHMcH_TVggMplPFghvNhE/edit?usp=drivesdk" TargetMode="External"/><Relationship Id="rId200" Type="http://schemas.openxmlformats.org/officeDocument/2006/relationships/hyperlink" Target="https://docs.google.com/document/d/1IkQHY7xdpZgQKzTdlSoTicOUTNui3uPatTteXxa_pCA/edit?usp=drivesd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Qn5PEiWR2neS5WHIgt0htBkanUAQ1rTyIhBlJnV8ew/edit?usp=drivesdk" TargetMode="External"/><Relationship Id="rId42" Type="http://schemas.openxmlformats.org/officeDocument/2006/relationships/hyperlink" Target="https://docs.google.com/document/d/1tT1cekfKE9zkDHQPRyXPgn4YPpu_n44w7mih4Ri4fW4/edit?usp=drivesdk" TargetMode="External"/><Relationship Id="rId41" Type="http://schemas.openxmlformats.org/officeDocument/2006/relationships/hyperlink" Target="https://docs.google.com/document/d/130ig_920U8ktpzuKMDPX89KK7il5j7udA14oQU3Yiss/edit?usp=drivesdk" TargetMode="External"/><Relationship Id="rId44" Type="http://schemas.openxmlformats.org/officeDocument/2006/relationships/hyperlink" Target="https://docs.google.com/document/d/1b6bpG53rTP1ccmCbDyVpwNkCXv-rAi320GEa2AUs0vg/edit?usp=drivesdk" TargetMode="External"/><Relationship Id="rId43" Type="http://schemas.openxmlformats.org/officeDocument/2006/relationships/hyperlink" Target="https://docs.google.com/document/d/1HuWnVphcSOVLNbw7Fcns24h4tMz4Rz9em6Slpyz3_sY/edit?usp=drivesdk" TargetMode="External"/><Relationship Id="rId46" Type="http://schemas.openxmlformats.org/officeDocument/2006/relationships/hyperlink" Target="https://docs.google.com/document/d/1E6gGp-rf27d6mY78sTsx1QB_L2T3yF13tTyFc_eoBEI/edit?usp=drivesdk" TargetMode="External"/><Relationship Id="rId45" Type="http://schemas.openxmlformats.org/officeDocument/2006/relationships/hyperlink" Target="https://docs.google.com/document/d/11VUV3LtrD4dgnWlQU8NyYpA74PmiqzaTPBFQM4NvyNI/edit?usp=drivesdk" TargetMode="External"/><Relationship Id="rId48" Type="http://schemas.openxmlformats.org/officeDocument/2006/relationships/hyperlink" Target="https://docs.google.com/document/d/1pjHR5byiQYqcjj7XSN4He2br4qsKSX3gpfL5aQ2aFDw/edit?usp=drivesdk" TargetMode="External"/><Relationship Id="rId47" Type="http://schemas.openxmlformats.org/officeDocument/2006/relationships/hyperlink" Target="https://docs.google.com/document/d/16XreyLWEoyz23l7B2fRziWZFhmNApi3GrEFn3ZR0vLY/edit?usp=drivesdk" TargetMode="External"/><Relationship Id="rId49" Type="http://schemas.openxmlformats.org/officeDocument/2006/relationships/hyperlink" Target="https://docs.google.com/document/d/1OaYskhXH-m-t_FNMWa9EBtW7MEUTawbuq71G_9LQQuY/edit?usp=drivesdk" TargetMode="External"/><Relationship Id="rId31" Type="http://schemas.openxmlformats.org/officeDocument/2006/relationships/hyperlink" Target="https://docs.google.com/document/d/12johTNBSzRDCa3ZtBYEglB-vMpG0IhNFvHHDt8usUaQ/edit?usp=drivesdk" TargetMode="External"/><Relationship Id="rId30" Type="http://schemas.openxmlformats.org/officeDocument/2006/relationships/hyperlink" Target="https://docs.google.com/document/d/1BG-pgGGZmpD8wD1saA6-kbfaEg5xNXrUTQFBkyr8BC0/edit?usp=drivesdk" TargetMode="External"/><Relationship Id="rId33" Type="http://schemas.openxmlformats.org/officeDocument/2006/relationships/hyperlink" Target="https://docs.google.com/document/d/1kweS3OepC6s83bPH2_SQ24jT9Q8QgYpIGyHLezmuXMk/edit?usp=drivesdk" TargetMode="External"/><Relationship Id="rId32" Type="http://schemas.openxmlformats.org/officeDocument/2006/relationships/hyperlink" Target="https://docs.google.com/document/d/14m8wHGsZDGrOqyTxwhCkkW4NvrJJgvZOHrwRsgk1cfE/edit?usp=drivesdk" TargetMode="External"/><Relationship Id="rId35" Type="http://schemas.openxmlformats.org/officeDocument/2006/relationships/hyperlink" Target="https://docs.google.com/document/d/13fv4izyX4rk0OV2p-JTva0Qy9XB4ekmzywkH_R5VS88/edit?usp=drivesdk" TargetMode="External"/><Relationship Id="rId34" Type="http://schemas.openxmlformats.org/officeDocument/2006/relationships/hyperlink" Target="https://docs.google.com/document/d/1He5YJoamXZ7fDTtbqhokBS1Vu2a1rBZW0SQ4qQkoesg/edit?usp=drivesdk" TargetMode="External"/><Relationship Id="rId37" Type="http://schemas.openxmlformats.org/officeDocument/2006/relationships/hyperlink" Target="https://docs.google.com/document/d/1IVTC-i1DD4UwZAPRZADhKj_L7ulL1dKb9ZD-og9mF6k/edit?usp=drivesdk" TargetMode="External"/><Relationship Id="rId36" Type="http://schemas.openxmlformats.org/officeDocument/2006/relationships/hyperlink" Target="https://docs.google.com/document/d/1PP6p8Y4RMQS_lIvd9PfsHxF3NkNgaKTaGAB8ATgS8Lo/edit?usp=drivesdk" TargetMode="External"/><Relationship Id="rId39" Type="http://schemas.openxmlformats.org/officeDocument/2006/relationships/hyperlink" Target="https://docs.google.com/document/d/1wN8ikP1sPV93CbF-miMdaNAm3fMk44ImydTK91Ebq2o/edit?usp=drivesdk" TargetMode="External"/><Relationship Id="rId38" Type="http://schemas.openxmlformats.org/officeDocument/2006/relationships/hyperlink" Target="https://docs.google.com/document/d/1tyxtpRSWBOqOqxkSr6tp3oKiCdew6O40DRx5ovHXEOc/edit?usp=drivesdk" TargetMode="External"/><Relationship Id="rId20" Type="http://schemas.openxmlformats.org/officeDocument/2006/relationships/hyperlink" Target="https://docs.google.com/document/d/1VKzLa1HM2RmNab27bTZUdhJol4Tw1RxcajQlC3oE8yQ/edit?usp=drivesdk" TargetMode="External"/><Relationship Id="rId22" Type="http://schemas.openxmlformats.org/officeDocument/2006/relationships/hyperlink" Target="https://docs.google.com/document/d/10MHKbSQwNp4YZcMPVabcyImp6s4Yb2uC_7T4CtPRZUg/edit?usp=drivesdk" TargetMode="External"/><Relationship Id="rId21" Type="http://schemas.openxmlformats.org/officeDocument/2006/relationships/hyperlink" Target="https://docs.google.com/document/d/1cyus2bAaPxeig0RvqG1757SUAYSzDZ3v9fh_3jBeDTU/edit?usp=drivesdk" TargetMode="External"/><Relationship Id="rId24" Type="http://schemas.openxmlformats.org/officeDocument/2006/relationships/hyperlink" Target="https://docs.google.com/document/d/11Ti0Ctr2JcwzqjDd3mIh_ihqwbnydfCkZ9_8e7Nu3Xw/edit?usp=drivesdk" TargetMode="External"/><Relationship Id="rId23" Type="http://schemas.openxmlformats.org/officeDocument/2006/relationships/hyperlink" Target="https://docs.google.com/document/d/1GhNW-JN2uaAJqOpR9jciNM6yXurKtrZ01wauasgnN3A/edit?usp=drivesdk" TargetMode="External"/><Relationship Id="rId26" Type="http://schemas.openxmlformats.org/officeDocument/2006/relationships/hyperlink" Target="https://docs.google.com/document/d/1LM739PLiAtbINil6J_nf49Qm0Mey9XBJX7uRdVpnr5M/edit?usp=drivesdk" TargetMode="External"/><Relationship Id="rId25" Type="http://schemas.openxmlformats.org/officeDocument/2006/relationships/hyperlink" Target="https://docs.google.com/document/d/1r5chGHHZ51WybskvDsyrpofvWYvvM65rMG1ZAAZm244/edit?usp=drivesdk" TargetMode="External"/><Relationship Id="rId28" Type="http://schemas.openxmlformats.org/officeDocument/2006/relationships/hyperlink" Target="https://docs.google.com/document/d/1RcL5TgkAzNzoHTOOJEUZR8_jmN1ygHxeNzPoqllGXu0/edit?usp=drivesdk" TargetMode="External"/><Relationship Id="rId27" Type="http://schemas.openxmlformats.org/officeDocument/2006/relationships/hyperlink" Target="https://docs.google.com/document/d/1aYjdgmy6Or50dBv3NQ9h5AojWKuROAY7D3jaCJPGWJc/edit?usp=drivesdk" TargetMode="External"/><Relationship Id="rId29" Type="http://schemas.openxmlformats.org/officeDocument/2006/relationships/hyperlink" Target="https://docs.google.com/document/d/1QfTCpOilbwsxzV0iY5K0vJR4ii0ohQMntb2qF2UUsIU/edit?usp=drivesdk" TargetMode="External"/><Relationship Id="rId11" Type="http://schemas.openxmlformats.org/officeDocument/2006/relationships/hyperlink" Target="https://docs.google.com/document/d/1x7vGhVkyeVmWha-Ldiu52ThpOMLotWp1pbvNbRmbpz0/edit?usp=drivesdk" TargetMode="External"/><Relationship Id="rId10" Type="http://schemas.openxmlformats.org/officeDocument/2006/relationships/hyperlink" Target="https://docs.google.com/document/d/1Z0dGlB5eFlFwN8Up2AyXiXEgOeEhzCkohVAQ1xeODqg/edit?usp=drivesdk" TargetMode="External"/><Relationship Id="rId13" Type="http://schemas.openxmlformats.org/officeDocument/2006/relationships/hyperlink" Target="https://docs.google.com/document/d/1jjr7YEBTt-7-GkIwgkd7THz79bTginPpOu7xtV8lE_s/edit?usp=drivesdk" TargetMode="External"/><Relationship Id="rId12" Type="http://schemas.openxmlformats.org/officeDocument/2006/relationships/hyperlink" Target="https://docs.google.com/document/d/1ChpoUYYUhto3NP_n2QAloYPE0rs7ZTYvbeOZEa9g7r0/edit?usp=drivesdk" TargetMode="External"/><Relationship Id="rId15" Type="http://schemas.openxmlformats.org/officeDocument/2006/relationships/hyperlink" Target="https://docs.google.com/document/d/1gLLAfepNSTyYTyge5qlgAZjH1tGkhajo96uhGXtmdYQ/edit?usp=drivesdk" TargetMode="External"/><Relationship Id="rId14" Type="http://schemas.openxmlformats.org/officeDocument/2006/relationships/hyperlink" Target="https://docs.google.com/document/d/1mhXGyqaLRcshGg9L_FD6ZHECNZkMsU4rBAsz8mR1kkg/edit?usp=drivesdk" TargetMode="External"/><Relationship Id="rId17" Type="http://schemas.openxmlformats.org/officeDocument/2006/relationships/hyperlink" Target="https://docs.google.com/document/d/1yjo-Ryab1FNgCBhBmd3mvPFga3jSwugpslpB-vvtNM4/edit?usp=drivesdk" TargetMode="External"/><Relationship Id="rId16" Type="http://schemas.openxmlformats.org/officeDocument/2006/relationships/hyperlink" Target="https://docs.google.com/document/d/1uTowIERrlk8Gof5zylmMmoSamaiJ3kZBExI1okBkX-0/edit?usp=drivesdk" TargetMode="External"/><Relationship Id="rId19" Type="http://schemas.openxmlformats.org/officeDocument/2006/relationships/hyperlink" Target="https://docs.google.com/document/d/1s3B1BboVMD_tuz764QRKYd5Pf2vUNTV60uf7cr7TMEI/edit?usp=drivesdk" TargetMode="External"/><Relationship Id="rId18" Type="http://schemas.openxmlformats.org/officeDocument/2006/relationships/hyperlink" Target="https://docs.google.com/document/d/1aaoAo7HbjwiouUkjOFzz2UBCpZ_SD_EFfCSoTVyxJYw/edit?usp=drivesdk" TargetMode="External"/><Relationship Id="rId84" Type="http://schemas.openxmlformats.org/officeDocument/2006/relationships/hyperlink" Target="https://docs.google.com/document/d/1-ZaFDYofHamVgFc31XiS3GN2eidIEDzE09--GxRxbtI/edit?usp=drivesdk" TargetMode="External"/><Relationship Id="rId83" Type="http://schemas.openxmlformats.org/officeDocument/2006/relationships/hyperlink" Target="https://docs.google.com/document/d/1YOZ0tEzTDmnJCatoCDr5mzE1JawLQpWEJGgKLQdb4AQ/edit?usp=drivesdk" TargetMode="External"/><Relationship Id="rId86" Type="http://schemas.openxmlformats.org/officeDocument/2006/relationships/hyperlink" Target="https://docs.google.com/document/d/1qdu2fpkkgQfcHuRSVP6k9SbjkyjwH5SJdw4HeW7gX-4/edit?usp=drivesdk" TargetMode="External"/><Relationship Id="rId85" Type="http://schemas.openxmlformats.org/officeDocument/2006/relationships/hyperlink" Target="https://docs.google.com/document/d/13HDqxQa2GcTpHkFY8bniwdxIuxbzoHkqspT6Ydb5GgU/edit?usp=drivesdk" TargetMode="External"/><Relationship Id="rId88" Type="http://schemas.openxmlformats.org/officeDocument/2006/relationships/hyperlink" Target="https://docs.google.com/document/d/1LtnKVpMD0wax9FHApUKyfq0co7ZlpZSGtAlA_EU9LaE/edit?usp=drivesdk" TargetMode="External"/><Relationship Id="rId150" Type="http://schemas.openxmlformats.org/officeDocument/2006/relationships/hyperlink" Target="https://docs.google.com/document/d/1jRt5Q8bHxNC42CwFxMUmTqY1099SHQVED9rnJyLWzhc/edit?usp=drivesdk" TargetMode="External"/><Relationship Id="rId87" Type="http://schemas.openxmlformats.org/officeDocument/2006/relationships/hyperlink" Target="https://docs.google.com/document/d/1Bh6obgjjv2RAJqWDYjQm7MgXsz3vspO6PY2UP97H6nM/edit?usp=drivesdk" TargetMode="External"/><Relationship Id="rId89" Type="http://schemas.openxmlformats.org/officeDocument/2006/relationships/hyperlink" Target="https://docs.google.com/document/d/19CjCUABVDEGsdDln8_fSxAWBtkRqI6YByGtf84il8o4/edit?usp=drivesdk" TargetMode="External"/><Relationship Id="rId80" Type="http://schemas.openxmlformats.org/officeDocument/2006/relationships/hyperlink" Target="https://docs.google.com/document/d/1hIo1TQrPn7yU_LC7qRI2jzuMSsZEPNOL0ipUyeIeENY/edit?usp=drivesdk" TargetMode="External"/><Relationship Id="rId82" Type="http://schemas.openxmlformats.org/officeDocument/2006/relationships/hyperlink" Target="https://docs.google.com/document/d/16xUjgF0Yso_QxERH91znUNgHhhWLqLOxC_5M1zQEFI0/edit?usp=drivesdk" TargetMode="External"/><Relationship Id="rId81" Type="http://schemas.openxmlformats.org/officeDocument/2006/relationships/hyperlink" Target="https://docs.google.com/document/d/1E00tUQpNcG5xIW8ErJ0EQRB303S9BUS6HcuivojDY5U/edit?usp=drivesdk" TargetMode="External"/><Relationship Id="rId1" Type="http://schemas.openxmlformats.org/officeDocument/2006/relationships/hyperlink" Target="https://docs.google.com/document/d/14FjBl40XbPpopBos0cH6XE0eGLuws1oetmXxMcNNstU/edit?usp=drivesdk" TargetMode="External"/><Relationship Id="rId2" Type="http://schemas.openxmlformats.org/officeDocument/2006/relationships/hyperlink" Target="https://docs.google.com/document/d/1vsrpQWUWSfuaZzgC8jBTQj755OiGkNStlg4gjwJwwSk/edit?usp=drivesdk" TargetMode="External"/><Relationship Id="rId3" Type="http://schemas.openxmlformats.org/officeDocument/2006/relationships/hyperlink" Target="https://docs.google.com/document/d/1hCz2ViUsoN7v_JiDONCJim93JFpl0EbzwsddWzsadKc/edit?usp=drivesdk" TargetMode="External"/><Relationship Id="rId149" Type="http://schemas.openxmlformats.org/officeDocument/2006/relationships/hyperlink" Target="https://docs.google.com/document/d/1pW5y4LqMdDBf31V0lHkUTOuEgS5k5qtuWflPQbkEAtw/edit?usp=drivesdk" TargetMode="External"/><Relationship Id="rId4" Type="http://schemas.openxmlformats.org/officeDocument/2006/relationships/hyperlink" Target="https://docs.google.com/document/d/1He0C28X4dnJvRpnaH-EfOeQAPcNaOOUS86W5D1abFKo/edit?usp=drivesdk" TargetMode="External"/><Relationship Id="rId148" Type="http://schemas.openxmlformats.org/officeDocument/2006/relationships/hyperlink" Target="https://docs.google.com/document/d/1eMKp3ZmDBD9Dv9DIydDsBzN7-Gbto3j6zwBq6UaBcnM/edit?usp=drivesdk" TargetMode="External"/><Relationship Id="rId9" Type="http://schemas.openxmlformats.org/officeDocument/2006/relationships/hyperlink" Target="https://docs.google.com/document/d/1Y0RR1QgUuxTP_5gefGZXXpPpEAk0h_e8wVjEc4i0w7Y/edit?usp=drivesdk" TargetMode="External"/><Relationship Id="rId143" Type="http://schemas.openxmlformats.org/officeDocument/2006/relationships/hyperlink" Target="https://docs.google.com/document/d/1mESVKKs04I3cXST76_5mr4N3O77o4Lz0ckF2_6yVTSI/edit?usp=drivesdk" TargetMode="External"/><Relationship Id="rId142" Type="http://schemas.openxmlformats.org/officeDocument/2006/relationships/hyperlink" Target="https://docs.google.com/document/d/1LxMirGujEtGPZd-kankE3fie3KpxBBkGB55gCOaZ7N8/edit?usp=drivesdk" TargetMode="External"/><Relationship Id="rId141" Type="http://schemas.openxmlformats.org/officeDocument/2006/relationships/hyperlink" Target="https://docs.google.com/document/d/1kcMew1ffFmI8Se3SEoXsFb4suDnLeGGze28sxrXWtek/edit?usp=drivesdk" TargetMode="External"/><Relationship Id="rId140" Type="http://schemas.openxmlformats.org/officeDocument/2006/relationships/hyperlink" Target="https://docs.google.com/document/d/1jCnjpeiwwH-1fj3XXfl01LVuZeEGSC-b9fH8gEeq5pA/edit?usp=drivesdk" TargetMode="External"/><Relationship Id="rId5" Type="http://schemas.openxmlformats.org/officeDocument/2006/relationships/hyperlink" Target="https://docs.google.com/document/d/18BwTC1bY-uIpvWQCDyiUzKzwYkspgNwW7sR3gHL_orI/edit?usp=drivesdk" TargetMode="External"/><Relationship Id="rId147" Type="http://schemas.openxmlformats.org/officeDocument/2006/relationships/hyperlink" Target="https://docs.google.com/document/d/1r-3ZRrhbHFJ3ZxDp5wrVdmwdSuN9Ob00PLOvmgkeWUU/edit?usp=drivesdk" TargetMode="External"/><Relationship Id="rId6" Type="http://schemas.openxmlformats.org/officeDocument/2006/relationships/hyperlink" Target="https://docs.google.com/document/d/1YMXfSzgjC5dlTvGQ5FEvWWKP1SKfMDhC5AVX-v3xcno/edit?usp=drivesdk" TargetMode="External"/><Relationship Id="rId146" Type="http://schemas.openxmlformats.org/officeDocument/2006/relationships/hyperlink" Target="https://docs.google.com/document/d/17AlCheonRnEa7RcYkig6x_uVxkBtWR53DJdJWU70n5w/edit?usp=drivesdk" TargetMode="External"/><Relationship Id="rId7" Type="http://schemas.openxmlformats.org/officeDocument/2006/relationships/hyperlink" Target="https://docs.google.com/document/d/1FvpqbpJ6bb78Vkm6CLVGgVZfog8mkVxhdJrYb2bpluY/edit?usp=drivesdk" TargetMode="External"/><Relationship Id="rId145" Type="http://schemas.openxmlformats.org/officeDocument/2006/relationships/hyperlink" Target="https://docs.google.com/document/d/1sDvutZj-xoDcnxmIVdRjS-2sh4FZP34W2W1clLtUecs/edit?usp=drivesdk" TargetMode="External"/><Relationship Id="rId8" Type="http://schemas.openxmlformats.org/officeDocument/2006/relationships/hyperlink" Target="https://docs.google.com/document/d/1dwBrRaKamdeD9mWKdJa1x62hcHeBWlNgCTHLnBANe8E/edit?usp=drivesdk" TargetMode="External"/><Relationship Id="rId144" Type="http://schemas.openxmlformats.org/officeDocument/2006/relationships/hyperlink" Target="https://docs.google.com/document/d/1u5Q4pM9OPnvpXsLMKTeZ94iriBzqlQHWAmTugLPyTCc/edit?usp=drivesdk" TargetMode="External"/><Relationship Id="rId73" Type="http://schemas.openxmlformats.org/officeDocument/2006/relationships/hyperlink" Target="https://docs.google.com/document/d/1ZjiGZ5CIaxxd0mJP0xN0rXCz6eIiA0vemOGqkYIyYmI/edit?usp=drivesdk" TargetMode="External"/><Relationship Id="rId72" Type="http://schemas.openxmlformats.org/officeDocument/2006/relationships/hyperlink" Target="https://docs.google.com/document/d/1esga8AjAL32wvSmm4zqtPYn8BgjzqE_7SG1SfRwoH08/edit?usp=drivesdk" TargetMode="External"/><Relationship Id="rId75" Type="http://schemas.openxmlformats.org/officeDocument/2006/relationships/hyperlink" Target="https://docs.google.com/document/d/1djrR4k1tHsRc4RpFJmM_t8I1LK8Loux5EDqhM6bgjAA/edit?usp=drivesdk" TargetMode="External"/><Relationship Id="rId74" Type="http://schemas.openxmlformats.org/officeDocument/2006/relationships/hyperlink" Target="https://docs.google.com/document/d/10LVQCITqts1VIGCws6ak9MFu5Vjms_xLzJQ-RwleUfY/edit?usp=drivesdk" TargetMode="External"/><Relationship Id="rId77" Type="http://schemas.openxmlformats.org/officeDocument/2006/relationships/hyperlink" Target="https://docs.google.com/document/d/1-Jv0Ich8BZM-W7qghHVtpGsGQ-l19aOQu7ax5QOfczw/edit?usp=drivesdk" TargetMode="External"/><Relationship Id="rId76" Type="http://schemas.openxmlformats.org/officeDocument/2006/relationships/hyperlink" Target="https://docs.google.com/document/d/114AjHRovEpC0uB-ykvMmNKmpqSlEROBmC1I2gFkGJOE/edit?usp=drivesdk" TargetMode="External"/><Relationship Id="rId79" Type="http://schemas.openxmlformats.org/officeDocument/2006/relationships/hyperlink" Target="https://docs.google.com/document/d/19lkSDaCtrtwOWxApFZg4zLDhN9prPr5n7DWAqpo1IDw/edit?usp=drivesdk" TargetMode="External"/><Relationship Id="rId78" Type="http://schemas.openxmlformats.org/officeDocument/2006/relationships/hyperlink" Target="https://docs.google.com/document/d/1P_tdxYz6gXkEfF-wszd_M0L4KmKzWQMSeITCeW90L3o/edit?usp=drivesdk" TargetMode="External"/><Relationship Id="rId71" Type="http://schemas.openxmlformats.org/officeDocument/2006/relationships/hyperlink" Target="https://docs.google.com/document/d/1_2kp9et08obJ-rdF5BwANsDo8KSprxV5jUliophz62w/edit?usp=drivesdk" TargetMode="External"/><Relationship Id="rId70" Type="http://schemas.openxmlformats.org/officeDocument/2006/relationships/hyperlink" Target="https://docs.google.com/document/d/1-JtJecK5cZCqR9sC0piIr2tOdCJEZBIJ0fMkBYv8Xjc/edit?usp=drivesdk" TargetMode="External"/><Relationship Id="rId139" Type="http://schemas.openxmlformats.org/officeDocument/2006/relationships/hyperlink" Target="https://docs.google.com/document/d/11VkBdYXGG4S5okoGYvq1KRSfuCNU5x5lSIwfkRN1dmQ/edit?usp=drivesdk" TargetMode="External"/><Relationship Id="rId138" Type="http://schemas.openxmlformats.org/officeDocument/2006/relationships/hyperlink" Target="https://docs.google.com/document/d/1EItCuJbG0UQmgh5rDRSloLFqMiJMbjfcfaOgRQxeBV8/edit?usp=drivesdk" TargetMode="External"/><Relationship Id="rId137" Type="http://schemas.openxmlformats.org/officeDocument/2006/relationships/hyperlink" Target="https://docs.google.com/document/d/1RyNeCR8afOgwiu6LrVIB1N3rBU1t0m-2YhiZD9toJUY/edit?usp=drivesdk" TargetMode="External"/><Relationship Id="rId132" Type="http://schemas.openxmlformats.org/officeDocument/2006/relationships/hyperlink" Target="https://docs.google.com/document/d/1e1sEguowTgyOIg1blVodfCLvd0B5vFiFR7fCAHUEehE/edit?usp=drivesdk" TargetMode="External"/><Relationship Id="rId131" Type="http://schemas.openxmlformats.org/officeDocument/2006/relationships/hyperlink" Target="https://docs.google.com/document/d/1qgEVMmFCnXJOoKnfRZhoYJbWIHBgE7_duP-lv3U-FPI/edit?usp=drivesdk" TargetMode="External"/><Relationship Id="rId130" Type="http://schemas.openxmlformats.org/officeDocument/2006/relationships/hyperlink" Target="https://docs.google.com/document/d/1Nr8Zzttz-sPDLm1miRYSLNvKLjVuKu3rJ2u8hNTUe4Y/edit?usp=drivesdk" TargetMode="External"/><Relationship Id="rId136" Type="http://schemas.openxmlformats.org/officeDocument/2006/relationships/hyperlink" Target="https://docs.google.com/document/d/15DIimpH4urd84qDogqLOxd0UC4IFoqvqdvFfHi7IdBk/edit?usp=drivesdk" TargetMode="External"/><Relationship Id="rId135" Type="http://schemas.openxmlformats.org/officeDocument/2006/relationships/hyperlink" Target="https://docs.google.com/document/d/1WqbTH7YxcalZuScXZapR7jpQk0qISq04yM4XwimvrvE/edit?usp=drivesdk" TargetMode="External"/><Relationship Id="rId134" Type="http://schemas.openxmlformats.org/officeDocument/2006/relationships/hyperlink" Target="https://docs.google.com/document/d/1rPxEO8Bl3hM8B6SBpc9ma_qvfDwFJNCSOqGWMfQcFyQ/edit?usp=drivesdk" TargetMode="External"/><Relationship Id="rId133" Type="http://schemas.openxmlformats.org/officeDocument/2006/relationships/hyperlink" Target="https://docs.google.com/document/d/1vv87B1LuruGAWyT-MoP0u4vxm2dq7Fg3HNni-uKs3Dg/edit?usp=drivesdk" TargetMode="External"/><Relationship Id="rId62" Type="http://schemas.openxmlformats.org/officeDocument/2006/relationships/hyperlink" Target="https://docs.google.com/document/d/1HuGhN69Plc63hzs3Mh2_sg8a5H-slf0NkVatVKBWCvw/edit?usp=drivesdk" TargetMode="External"/><Relationship Id="rId61" Type="http://schemas.openxmlformats.org/officeDocument/2006/relationships/hyperlink" Target="https://docs.google.com/document/d/1kQjIc3SL0TDRz5VQWR8QQV4tP6ydmNwViK3pAdNWIiU/edit?usp=drivesdk" TargetMode="External"/><Relationship Id="rId64" Type="http://schemas.openxmlformats.org/officeDocument/2006/relationships/hyperlink" Target="https://docs.google.com/document/d/1Wv6v6FJVSWkZQEJBrx3tPRKY4hZqdm_Hd9aPdgfE90k/edit?usp=drivesdk" TargetMode="External"/><Relationship Id="rId63" Type="http://schemas.openxmlformats.org/officeDocument/2006/relationships/hyperlink" Target="https://docs.google.com/document/d/16dEtTWZC9NWlgUvRfW4stbcsX-xyd5Y5tzp-QwuKH5s/edit?usp=drivesdk" TargetMode="External"/><Relationship Id="rId66" Type="http://schemas.openxmlformats.org/officeDocument/2006/relationships/hyperlink" Target="https://docs.google.com/document/d/11ANhm6lzY2fgD6BkbzsKfBR5xGlKAONWyb56NMjFcxQ/edit?usp=drivesdk" TargetMode="External"/><Relationship Id="rId65" Type="http://schemas.openxmlformats.org/officeDocument/2006/relationships/hyperlink" Target="https://docs.google.com/document/d/1Vhq7Lx03pEO0rGeG3OXyg_A6-m_c9qE-OiAok_9paL0/edit?usp=drivesdk" TargetMode="External"/><Relationship Id="rId171" Type="http://schemas.openxmlformats.org/officeDocument/2006/relationships/drawing" Target="../drawings/drawing6.xml"/><Relationship Id="rId68" Type="http://schemas.openxmlformats.org/officeDocument/2006/relationships/hyperlink" Target="https://docs.google.com/document/d/17Z0Y_DRPCp9k3SyeVoEuAWwgsDlBD2eJbzOJnx6IDEM/edit?usp=drivesdk" TargetMode="External"/><Relationship Id="rId170" Type="http://schemas.openxmlformats.org/officeDocument/2006/relationships/hyperlink" Target="https://docs.google.com/document/d/1WhxSp7tIo0B-rNqJ8VOg7KDjcpfK9iiOWezCkxAHJ4k/edit?usp=drivesdk" TargetMode="External"/><Relationship Id="rId67" Type="http://schemas.openxmlformats.org/officeDocument/2006/relationships/hyperlink" Target="https://docs.google.com/document/d/14xwARIBoBigzGvXrpY6UFr4uW2EWWMBSXPmB73GYxB4/edit?usp=drivesdk" TargetMode="External"/><Relationship Id="rId60" Type="http://schemas.openxmlformats.org/officeDocument/2006/relationships/hyperlink" Target="https://docs.google.com/document/d/1FKDJWWxYgD_qPttTcH0BLks5T150vcr9rcxgXlt39DA/edit?usp=drivesdk" TargetMode="External"/><Relationship Id="rId165" Type="http://schemas.openxmlformats.org/officeDocument/2006/relationships/hyperlink" Target="https://docs.google.com/document/d/1qzInxflayro18Ywy4BKDI7C6ZcFHRv5IxKPjBTi7V6k/edit?usp=drivesdk" TargetMode="External"/><Relationship Id="rId69" Type="http://schemas.openxmlformats.org/officeDocument/2006/relationships/hyperlink" Target="https://docs.google.com/document/d/1RElM9HMjqlccuTN5vaBi42_D_GiGnoYKYDDOpgyfRPs/edit?usp=drivesdk" TargetMode="External"/><Relationship Id="rId164" Type="http://schemas.openxmlformats.org/officeDocument/2006/relationships/hyperlink" Target="https://docs.google.com/document/d/11LH3Ypinq4ncK1zuFP5l9hwBNf0IcIr0twqf8UML26A/edit?usp=drivesdk" TargetMode="External"/><Relationship Id="rId163" Type="http://schemas.openxmlformats.org/officeDocument/2006/relationships/hyperlink" Target="https://docs.google.com/document/d/1MyvTdHfKlWYIK2giotJgKXmmbgl1UwnEj5q2IINftL4/edit?usp=drivesdk" TargetMode="External"/><Relationship Id="rId162" Type="http://schemas.openxmlformats.org/officeDocument/2006/relationships/hyperlink" Target="https://docs.google.com/document/d/1ooBE7t0AlbPYlw3ytOB1xTDr3lIz4bvBp4T0RZPgn5g/edit?usp=drivesdk" TargetMode="External"/><Relationship Id="rId169" Type="http://schemas.openxmlformats.org/officeDocument/2006/relationships/hyperlink" Target="https://docs.google.com/document/d/1F819L7CjGiFRfxXQ31niYanedKhrH1jQv5ZtFwRxH3A/edit?usp=drivesdk" TargetMode="External"/><Relationship Id="rId168" Type="http://schemas.openxmlformats.org/officeDocument/2006/relationships/hyperlink" Target="https://docs.google.com/document/d/17soFuxgx-56qUz71Tt12rGFqT7NW6lcPKbzNLvwINZA/edit?usp=drivesdk" TargetMode="External"/><Relationship Id="rId167" Type="http://schemas.openxmlformats.org/officeDocument/2006/relationships/hyperlink" Target="https://docs.google.com/document/d/1AHheGwYOiT-q4FUnk1nMcJmyjTHHq0siIdyVS7L6IKU/edit?usp=drivesdk" TargetMode="External"/><Relationship Id="rId166" Type="http://schemas.openxmlformats.org/officeDocument/2006/relationships/hyperlink" Target="https://docs.google.com/document/d/119-2VyQkba4rQH0XVNlk3OG9HL7nDB-CwKyt_CEkZfA/edit?usp=drivesdk" TargetMode="External"/><Relationship Id="rId51" Type="http://schemas.openxmlformats.org/officeDocument/2006/relationships/hyperlink" Target="https://docs.google.com/document/d/19kncUQVTn5UxkZucpLB-CT1TRCdgT-i-U5u9kGBwM1I/edit?usp=drivesdk" TargetMode="External"/><Relationship Id="rId50" Type="http://schemas.openxmlformats.org/officeDocument/2006/relationships/hyperlink" Target="https://docs.google.com/document/d/1TSN8-wzSmsacOutT0RJ-6QOH_4sWSrHX8raS3u_NXZ4/edit?usp=drivesdk" TargetMode="External"/><Relationship Id="rId53" Type="http://schemas.openxmlformats.org/officeDocument/2006/relationships/hyperlink" Target="https://docs.google.com/document/d/1Ot_ZOO09TTERz_o5QJ1TTYZ5N8u8SQOGxXknxGX2B0o/edit?usp=drivesdk" TargetMode="External"/><Relationship Id="rId52" Type="http://schemas.openxmlformats.org/officeDocument/2006/relationships/hyperlink" Target="https://docs.google.com/document/d/18ThMJETSgGD2P4RQAiPOA-2jxxjvHQg-0vjioCWVH4c/edit?usp=drivesdk" TargetMode="External"/><Relationship Id="rId55" Type="http://schemas.openxmlformats.org/officeDocument/2006/relationships/hyperlink" Target="https://docs.google.com/document/d/1DtPcRYyFvQBVmMX24OO1b5MTscscauu0zMpGMXsLnOI/edit?usp=drivesdk" TargetMode="External"/><Relationship Id="rId161" Type="http://schemas.openxmlformats.org/officeDocument/2006/relationships/hyperlink" Target="https://docs.google.com/document/d/1bd3YyaJmxUzRcBufjJl5uIA6g-Su0PLYwroqNeD69dk/edit?usp=drivesdk" TargetMode="External"/><Relationship Id="rId54" Type="http://schemas.openxmlformats.org/officeDocument/2006/relationships/hyperlink" Target="https://docs.google.com/document/d/1Qp6e-dvLBJjgYSqdbfEBGFSPFtilPrJqNGJ0Fwc2gEE/edit?usp=drivesdk" TargetMode="External"/><Relationship Id="rId160" Type="http://schemas.openxmlformats.org/officeDocument/2006/relationships/hyperlink" Target="https://docs.google.com/document/d/19ZHU6xeCeJNb5Ol5snLGHiOBuSECcsIqwVvEjtlXB_s/edit?usp=drivesdk" TargetMode="External"/><Relationship Id="rId57" Type="http://schemas.openxmlformats.org/officeDocument/2006/relationships/hyperlink" Target="https://docs.google.com/document/d/1bTu3vblxjN5ulHIaoUgO6cTVCgv-wu75LvOybYmGrZI/edit?usp=drivesdk" TargetMode="External"/><Relationship Id="rId56" Type="http://schemas.openxmlformats.org/officeDocument/2006/relationships/hyperlink" Target="https://docs.google.com/document/d/1ibSW16g1LqQj0JLuC8eILODhGmIhmEy5qrlST4fpjmU/edit?usp=drivesdk" TargetMode="External"/><Relationship Id="rId159" Type="http://schemas.openxmlformats.org/officeDocument/2006/relationships/hyperlink" Target="https://docs.google.com/document/d/10eWcbw6yTe1pO6PNbxSG2H_OGsNOdsdDkk5G4LGsUvU/edit?usp=drivesdk" TargetMode="External"/><Relationship Id="rId59" Type="http://schemas.openxmlformats.org/officeDocument/2006/relationships/hyperlink" Target="https://docs.google.com/document/d/1oVTTHY5xruPzbcGBHUiRTWhhCdwVv51j-IwWFloDutk/edit?usp=drivesdk" TargetMode="External"/><Relationship Id="rId154" Type="http://schemas.openxmlformats.org/officeDocument/2006/relationships/hyperlink" Target="https://docs.google.com/document/d/1HF31RciPcEIlf6UmNkpFauoF2wNUIRhHGwc47T4qhTI/edit?usp=drivesdk" TargetMode="External"/><Relationship Id="rId58" Type="http://schemas.openxmlformats.org/officeDocument/2006/relationships/hyperlink" Target="https://docs.google.com/document/d/1eiT0eXMg1TbEZDkSBxRDBsaeSPFG55fCOqskGQVjR70/edit?usp=drivesdk" TargetMode="External"/><Relationship Id="rId153" Type="http://schemas.openxmlformats.org/officeDocument/2006/relationships/hyperlink" Target="https://docs.google.com/document/d/1A8gOzdPwqu9PhrkEl7X0EFixHgDi0_RHnQzyjOaptCU/edit?usp=drivesdk" TargetMode="External"/><Relationship Id="rId152" Type="http://schemas.openxmlformats.org/officeDocument/2006/relationships/hyperlink" Target="https://docs.google.com/document/d/1jrP_exqLKvs83ZcxkTBXLyHzsRV2QH9fBO2Kp10QMJM/edit?usp=drivesdk" TargetMode="External"/><Relationship Id="rId151" Type="http://schemas.openxmlformats.org/officeDocument/2006/relationships/hyperlink" Target="https://docs.google.com/document/d/17zIxiRAS6gwshHnvi3qtZpHzKPL_aE1u-URsk_PzGts/edit?usp=drivesdk" TargetMode="External"/><Relationship Id="rId158" Type="http://schemas.openxmlformats.org/officeDocument/2006/relationships/hyperlink" Target="https://docs.google.com/document/d/1VIpbFx3MRYIRDUWh7wnK_honzmAhROSDyodmPXp51jA/edit?usp=drivesdk" TargetMode="External"/><Relationship Id="rId157" Type="http://schemas.openxmlformats.org/officeDocument/2006/relationships/hyperlink" Target="https://docs.google.com/document/d/1QT2l27WkZzYk4HsHePCBrSNgN36kbnjQuazxFOrKcNg/edit?usp=drivesdk" TargetMode="External"/><Relationship Id="rId156" Type="http://schemas.openxmlformats.org/officeDocument/2006/relationships/hyperlink" Target="https://docs.google.com/document/d/13-5rmYrF8-Q1bxJ5Hn-GH3-qIL1ASpOjF_DKOEtkONc/edit?usp=drivesdk" TargetMode="External"/><Relationship Id="rId155" Type="http://schemas.openxmlformats.org/officeDocument/2006/relationships/hyperlink" Target="https://docs.google.com/document/d/1m0PJk7g5ZlntGaGBDltxqPUznyoBoEoOBC_4P0NE7E0/edit?usp=drivesdk" TargetMode="External"/><Relationship Id="rId107" Type="http://schemas.openxmlformats.org/officeDocument/2006/relationships/hyperlink" Target="https://docs.google.com/document/d/11vKrxoE9iTPdXf5-JIN4pqADKP5iMbfJAHJbkNQhAIA/edit?usp=drivesdk" TargetMode="External"/><Relationship Id="rId106" Type="http://schemas.openxmlformats.org/officeDocument/2006/relationships/hyperlink" Target="https://docs.google.com/document/d/1a-QtfcvNPb3tAQOBtARcNdonzArRCFV_UiCFLhl2VUs/edit?usp=drivesdk" TargetMode="External"/><Relationship Id="rId105" Type="http://schemas.openxmlformats.org/officeDocument/2006/relationships/hyperlink" Target="https://docs.google.com/document/d/1YzxWpZh5R9nl4XYbzXbAj5t11KcLWxsHvxRySnHuG54/edit?usp=drivesdk" TargetMode="External"/><Relationship Id="rId104" Type="http://schemas.openxmlformats.org/officeDocument/2006/relationships/hyperlink" Target="https://docs.google.com/document/d/1kjkCDaFU9GoMEUp8LHNaeK97r-Qt0Pj-Fb7wq5yCrlY/edit?usp=drivesdk" TargetMode="External"/><Relationship Id="rId109" Type="http://schemas.openxmlformats.org/officeDocument/2006/relationships/hyperlink" Target="https://docs.google.com/document/d/1u0RbjeOinTi2VSI-rfOyQ4FkT5qgK1B8pcRj3UY4084/edit?usp=drivesdk" TargetMode="External"/><Relationship Id="rId108" Type="http://schemas.openxmlformats.org/officeDocument/2006/relationships/hyperlink" Target="https://docs.google.com/document/d/16d5FZgg6AsUCWolD-bvB9V4I9jKVnKRx3Sr0FQaZ-94/edit?usp=drivesdk" TargetMode="External"/><Relationship Id="rId103" Type="http://schemas.openxmlformats.org/officeDocument/2006/relationships/hyperlink" Target="https://docs.google.com/document/d/1zl_k4FvjBo7NzJJFdUugtjaw_IPs0sEzYi-qOhWqIF4/edit?usp=drivesdk" TargetMode="External"/><Relationship Id="rId102" Type="http://schemas.openxmlformats.org/officeDocument/2006/relationships/hyperlink" Target="https://docs.google.com/document/d/1jXiotDDa86TbwdkVk49pZo3tZCKuJafrMP0jB9K1YgA/edit?usp=drivesdk" TargetMode="External"/><Relationship Id="rId101" Type="http://schemas.openxmlformats.org/officeDocument/2006/relationships/hyperlink" Target="https://docs.google.com/document/d/1Cx-PaQZKVnYf0rxiB1r61Lvf7Ok9toK5ABR1JMGg0tI/edit?usp=drivesdk" TargetMode="External"/><Relationship Id="rId100" Type="http://schemas.openxmlformats.org/officeDocument/2006/relationships/hyperlink" Target="https://docs.google.com/document/d/10ggttVQ5E2LWLzf4dVrdoiAsnoXH9elzX4aLtp0aNPU/edit?usp=drivesdk" TargetMode="External"/><Relationship Id="rId129" Type="http://schemas.openxmlformats.org/officeDocument/2006/relationships/hyperlink" Target="https://docs.google.com/document/d/1sv9q_M75zMCeNrIGMW68syRoD2knXD6DRCdC6uCtNFI/edit?usp=drivesdk" TargetMode="External"/><Relationship Id="rId128" Type="http://schemas.openxmlformats.org/officeDocument/2006/relationships/hyperlink" Target="https://docs.google.com/document/d/1TlixFdtnszmjvf4wZHe_6yl1qggvWR1nEe5L8yENyM4/edit?usp=drivesdk" TargetMode="External"/><Relationship Id="rId127" Type="http://schemas.openxmlformats.org/officeDocument/2006/relationships/hyperlink" Target="https://docs.google.com/document/d/1GontP7o5IVYI_kebOtf7xcf31enLFJvu4W9GuWjHrJU/edit?usp=drivesdk" TargetMode="External"/><Relationship Id="rId126" Type="http://schemas.openxmlformats.org/officeDocument/2006/relationships/hyperlink" Target="https://docs.google.com/document/d/1k9mpyRHAqrPMZFTCsbfDZYsgkTqVuOP2snlgV7MqJ3Y/edit?usp=drivesdk" TargetMode="External"/><Relationship Id="rId121" Type="http://schemas.openxmlformats.org/officeDocument/2006/relationships/hyperlink" Target="https://docs.google.com/document/d/1C_JomSM0bFG2ibSQlEiBqYX4YPEPboQc_46Y1AelGpk/edit?usp=drivesdk" TargetMode="External"/><Relationship Id="rId120" Type="http://schemas.openxmlformats.org/officeDocument/2006/relationships/hyperlink" Target="https://docs.google.com/document/d/18BrTPnlDZnUCWrSvvHTDWU08YeXuE_Kip8fwQ6caJ1Q/edit?usp=drivesdk" TargetMode="External"/><Relationship Id="rId125" Type="http://schemas.openxmlformats.org/officeDocument/2006/relationships/hyperlink" Target="https://docs.google.com/document/d/1P30d3xqHZccuWIpCb3tOkSPX5nJylZbvK9bWyL98qhs/edit?usp=drivesdk" TargetMode="External"/><Relationship Id="rId124" Type="http://schemas.openxmlformats.org/officeDocument/2006/relationships/hyperlink" Target="https://docs.google.com/document/d/1FsQBw2I_Oe0ELrnZxgUANTVytCPpY3rp2CMVmj9WI2A/edit?usp=drivesdk" TargetMode="External"/><Relationship Id="rId123" Type="http://schemas.openxmlformats.org/officeDocument/2006/relationships/hyperlink" Target="https://docs.google.com/document/d/1te5UZ8MyC5Ao-CNdDpmT1rh51vZ1zo5C02IemJTKRNE/edit?usp=drivesdk" TargetMode="External"/><Relationship Id="rId122" Type="http://schemas.openxmlformats.org/officeDocument/2006/relationships/hyperlink" Target="https://docs.google.com/document/d/1d8LunDoBBRN0BLmSOQ8USrfr6SQjz56OCqLuBdAOtIg/edit?usp=drivesdk" TargetMode="External"/><Relationship Id="rId95" Type="http://schemas.openxmlformats.org/officeDocument/2006/relationships/hyperlink" Target="https://docs.google.com/document/d/1D_DTs93uJ-e7AYejuOgyHAK8wXQpREGDtGW8C7oVJOo/edit?usp=drivesdk" TargetMode="External"/><Relationship Id="rId94" Type="http://schemas.openxmlformats.org/officeDocument/2006/relationships/hyperlink" Target="https://docs.google.com/document/d/1sA18amjxFsTe3GKrd3GXdq3tAZmj1o2kwJK2hr7Z2lE/edit?usp=drivesdk" TargetMode="External"/><Relationship Id="rId97" Type="http://schemas.openxmlformats.org/officeDocument/2006/relationships/hyperlink" Target="https://docs.google.com/document/d/1LFtSX3ZAoI3-sJ9bNI9w6JiAkVjQ4MxFwtLKdlINgb4/edit?usp=drivesdk" TargetMode="External"/><Relationship Id="rId96" Type="http://schemas.openxmlformats.org/officeDocument/2006/relationships/hyperlink" Target="https://docs.google.com/document/d/1MKf7ZfQ8SU5URerJ3BzwsY8FXlfTV02x213B5lEtJAU/edit?usp=drivesdk" TargetMode="External"/><Relationship Id="rId99" Type="http://schemas.openxmlformats.org/officeDocument/2006/relationships/hyperlink" Target="https://docs.google.com/document/d/1RW0prtmmBLpeXNAlRtSm026On4PyF6CpSGz1s-rytKE/edit?usp=drivesdk" TargetMode="External"/><Relationship Id="rId98" Type="http://schemas.openxmlformats.org/officeDocument/2006/relationships/hyperlink" Target="https://docs.google.com/document/d/1B4Ar89zUXak_t7TWYVVSNFLUgvn4rhXJDm3idbJyOzc/edit?usp=drivesdk" TargetMode="External"/><Relationship Id="rId91" Type="http://schemas.openxmlformats.org/officeDocument/2006/relationships/hyperlink" Target="https://docs.google.com/document/d/1xHs8P0wYqbqpndMCrE3DVxVvTPuyz0ARl-E-MvvQLlU/edit?usp=drivesdk" TargetMode="External"/><Relationship Id="rId90" Type="http://schemas.openxmlformats.org/officeDocument/2006/relationships/hyperlink" Target="https://docs.google.com/document/d/1j_plf6PkyliVReCMPEeMsCAlE6WO8YR94G1QKBqWogw/edit?usp=drivesdk" TargetMode="External"/><Relationship Id="rId93" Type="http://schemas.openxmlformats.org/officeDocument/2006/relationships/hyperlink" Target="https://docs.google.com/document/d/1rIT7GDt1wH2jRwFt-jOVtXkCl-eTTqASEvmQb6qcQDU/edit?usp=drivesdk" TargetMode="External"/><Relationship Id="rId92" Type="http://schemas.openxmlformats.org/officeDocument/2006/relationships/hyperlink" Target="https://docs.google.com/document/d/1LXtby6WoIf9pWRDa65QCpytoXO1MKkhVyjx2imFNtDY/edit?usp=drivesdk" TargetMode="External"/><Relationship Id="rId118" Type="http://schemas.openxmlformats.org/officeDocument/2006/relationships/hyperlink" Target="https://docs.google.com/document/d/1jrPY-wFtwWrsFtt-KBWtI356XfKOxZllBauvlAENUnQ/edit?usp=drivesdk" TargetMode="External"/><Relationship Id="rId117" Type="http://schemas.openxmlformats.org/officeDocument/2006/relationships/hyperlink" Target="https://docs.google.com/document/d/193XBM1U3uMkASrKWHkGKMKYMJTStTyOb73ch_OIr4Tk/edit?usp=drivesdk" TargetMode="External"/><Relationship Id="rId116" Type="http://schemas.openxmlformats.org/officeDocument/2006/relationships/hyperlink" Target="https://docs.google.com/document/d/1zolpgI2JUnwa4NexLYu_rZbvpTQnlnNgvQN-x-pv3WA/edit?usp=drivesdk" TargetMode="External"/><Relationship Id="rId115" Type="http://schemas.openxmlformats.org/officeDocument/2006/relationships/hyperlink" Target="https://docs.google.com/document/d/1abeiCfbc_h7ISb3eN2B8sh1DXvsTFAyi49lYb3lVwLA/edit?usp=drivesdk" TargetMode="External"/><Relationship Id="rId119" Type="http://schemas.openxmlformats.org/officeDocument/2006/relationships/hyperlink" Target="https://docs.google.com/document/d/1WqKzbyXBTGmA01S1nEoVRSkIXEfb7-EJRr5UTVDqQSI/edit?usp=drivesdk" TargetMode="External"/><Relationship Id="rId110" Type="http://schemas.openxmlformats.org/officeDocument/2006/relationships/hyperlink" Target="https://docs.google.com/document/d/1F0_gggHOS9Fx09L1DJnYAUVziXfg0GR84pZEvfKzzlY/edit?usp=drivesdk" TargetMode="External"/><Relationship Id="rId114" Type="http://schemas.openxmlformats.org/officeDocument/2006/relationships/hyperlink" Target="https://docs.google.com/document/d/1Gd-Hm_EkHsXK14Zbm7c_mLH9kLnsR95vQeuLNcUlz3Q/edit?usp=drivesdk" TargetMode="External"/><Relationship Id="rId113" Type="http://schemas.openxmlformats.org/officeDocument/2006/relationships/hyperlink" Target="https://docs.google.com/document/d/1EIy_iCLi1kv-Aub68RnvJhiSPBQxOIz3naVi9OQUKzk/edit?usp=drivesdk" TargetMode="External"/><Relationship Id="rId112" Type="http://schemas.openxmlformats.org/officeDocument/2006/relationships/hyperlink" Target="https://docs.google.com/document/d/1UdVl8X0ybYeI7PcvFRjU689USJFhiHIv2EHzy--MaCw/edit?usp=drivesdk" TargetMode="External"/><Relationship Id="rId111" Type="http://schemas.openxmlformats.org/officeDocument/2006/relationships/hyperlink" Target="https://docs.google.com/document/d/1r-wslch5LfGmDJTlyrOEWlnc-VUczIb82iGj6VNv1G8/edit?usp=drivesd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wYQHjfogWRtuxL-q5YVLKzxU6cJNvHNuEPdd-r-Ul7E/edit?usp=drivesdk" TargetMode="External"/><Relationship Id="rId42" Type="http://schemas.openxmlformats.org/officeDocument/2006/relationships/hyperlink" Target="https://docs.google.com/document/d/1L67Y9ptTyBnmQ-L63cohFaj9hbjISCDfDP2v6a1grvw/edit?usp=drivesdk" TargetMode="External"/><Relationship Id="rId41" Type="http://schemas.openxmlformats.org/officeDocument/2006/relationships/hyperlink" Target="https://docs.google.com/document/d/1j9foKMo3kB1tweQBg4H0GdPC1sgDzr1qfmcfuh6yqhM/edit?usp=drivesdk" TargetMode="External"/><Relationship Id="rId44" Type="http://schemas.openxmlformats.org/officeDocument/2006/relationships/hyperlink" Target="https://docs.google.com/document/d/1tzVib-v1g6EQ-SnZcMCtNYB1kIlo01rWGsd8G36x3U0/edit?usp=drivesdk" TargetMode="External"/><Relationship Id="rId43" Type="http://schemas.openxmlformats.org/officeDocument/2006/relationships/hyperlink" Target="https://docs.google.com/document/d/1V-wo9ZP91cmighjzTgVlh0mbJD3sqv5G9ZTwZZ33qMQ/edit?usp=drivesdk" TargetMode="External"/><Relationship Id="rId46" Type="http://schemas.openxmlformats.org/officeDocument/2006/relationships/hyperlink" Target="https://docs.google.com/document/d/156UToFSjQDdUFQ4ysbC0TeYrDwDj2Lpok5SRyDeejj8/edit?usp=drivesdk" TargetMode="External"/><Relationship Id="rId45" Type="http://schemas.openxmlformats.org/officeDocument/2006/relationships/hyperlink" Target="https://docs.google.com/document/d/10ENU1RdUAJ6lVlvzPST1uR8o7Et_bKAcoK13T7gqM8s/edit?usp=drivesdk" TargetMode="External"/><Relationship Id="rId48" Type="http://schemas.openxmlformats.org/officeDocument/2006/relationships/hyperlink" Target="https://docs.google.com/document/d/1b6UGjylwGX-bf4dQjbzei-uQrsDL2puqurops1ExAFY/edit?usp=drivesdk" TargetMode="External"/><Relationship Id="rId47" Type="http://schemas.openxmlformats.org/officeDocument/2006/relationships/hyperlink" Target="https://docs.google.com/document/d/1hlSq9K3tnwWFaV3S-j74seKUn2h0EZ0CUEoK31CghFA/edit?usp=drivesdk" TargetMode="External"/><Relationship Id="rId49" Type="http://schemas.openxmlformats.org/officeDocument/2006/relationships/hyperlink" Target="https://docs.google.com/document/d/1kw2Qd8EIgkC0i98kPoEW3poTWE7GWR0mahavr098cws/edit?usp=drivesdk" TargetMode="External"/><Relationship Id="rId31" Type="http://schemas.openxmlformats.org/officeDocument/2006/relationships/hyperlink" Target="https://docs.google.com/document/d/18_q6ucLY8eeytlh7c-tFHozpqliup4lABtiJkp1MIJk/edit?usp=drivesdk" TargetMode="External"/><Relationship Id="rId30" Type="http://schemas.openxmlformats.org/officeDocument/2006/relationships/hyperlink" Target="https://docs.google.com/document/d/1B9LZIzmi6rNw_V-43nkmhGja0Y0jKFIWons8kgk3cRk/edit?usp=drivesdk" TargetMode="External"/><Relationship Id="rId33" Type="http://schemas.openxmlformats.org/officeDocument/2006/relationships/hyperlink" Target="https://docs.google.com/document/d/1dZfAdO6z3xFhWOdB9-qvYFadIukbxrM-rI71QXS_t5U/edit?usp=drivesdk" TargetMode="External"/><Relationship Id="rId32" Type="http://schemas.openxmlformats.org/officeDocument/2006/relationships/hyperlink" Target="https://docs.google.com/document/d/1Ue1-4KhnoPw4GsRj5QsPnjbHVNIivU6K_HkHM45vb_8/edit?usp=drivesdk" TargetMode="External"/><Relationship Id="rId35" Type="http://schemas.openxmlformats.org/officeDocument/2006/relationships/hyperlink" Target="https://docs.google.com/document/d/1VU91BLgsN1DE6-Hi-957mAOjK5zE7dR1tqKMjA_EhxE/edit?usp=drivesdk" TargetMode="External"/><Relationship Id="rId181" Type="http://schemas.openxmlformats.org/officeDocument/2006/relationships/drawing" Target="../drawings/drawing7.xml"/><Relationship Id="rId34" Type="http://schemas.openxmlformats.org/officeDocument/2006/relationships/hyperlink" Target="https://docs.google.com/document/d/16-DFK6LiE3TbC438AeXC1U5jCrVlUdSFklpB5SPKGhU/edit?usp=drivesdk" TargetMode="External"/><Relationship Id="rId180" Type="http://schemas.openxmlformats.org/officeDocument/2006/relationships/hyperlink" Target="https://docs.google.com/document/d/1QgBr4Vp_l_XfMotTBy4fTcxpy6l5GcfFCJFwPrlIcYY/edit?usp=drivesdk" TargetMode="External"/><Relationship Id="rId37" Type="http://schemas.openxmlformats.org/officeDocument/2006/relationships/hyperlink" Target="https://docs.google.com/document/d/11iy58qKdEG9yWrpUEeTLoseB4-BXHdNE44vFVssK_tI/edit?usp=drivesdk" TargetMode="External"/><Relationship Id="rId176" Type="http://schemas.openxmlformats.org/officeDocument/2006/relationships/hyperlink" Target="https://docs.google.com/document/d/1KhRc-JPUAmbIi2ll187vJLv0ktIhnEL1mDItRyZDO6o/edit?usp=drivesdk" TargetMode="External"/><Relationship Id="rId36" Type="http://schemas.openxmlformats.org/officeDocument/2006/relationships/hyperlink" Target="https://docs.google.com/document/d/1-6XaM6kboEhFLpZ268ia9nrL6j2R3vVfX_wzOFbV7Hw/edit?usp=drivesdk" TargetMode="External"/><Relationship Id="rId175" Type="http://schemas.openxmlformats.org/officeDocument/2006/relationships/hyperlink" Target="https://docs.google.com/document/d/1MNOpzz937bbxK7bALMCrH1RGx_2VMnShTtTmZJyAyzs/edit?usp=drivesdk" TargetMode="External"/><Relationship Id="rId39" Type="http://schemas.openxmlformats.org/officeDocument/2006/relationships/hyperlink" Target="https://docs.google.com/document/d/1XthIW9Y3j0qe-taON78ibd51m-Dwf0kiNPLWbadqdxk/edit?usp=drivesdk" TargetMode="External"/><Relationship Id="rId174" Type="http://schemas.openxmlformats.org/officeDocument/2006/relationships/hyperlink" Target="https://docs.google.com/document/d/1xQQC1vNPcUDUjDTDNml6F6fFDVBZZjXunJU69QqFw8Q/edit?usp=drivesdk" TargetMode="External"/><Relationship Id="rId38" Type="http://schemas.openxmlformats.org/officeDocument/2006/relationships/hyperlink" Target="https://docs.google.com/document/d/1b7LoqffkQJ69ABsw0biSCT1B88HOMph7Gqd3lh8c7nw/edit?usp=drivesdk" TargetMode="External"/><Relationship Id="rId173" Type="http://schemas.openxmlformats.org/officeDocument/2006/relationships/hyperlink" Target="https://docs.google.com/document/d/158G8qqGf4lo_q3BA9U29--VQirScDK7h1ZS1VCYhEqA/edit?usp=drivesdk" TargetMode="External"/><Relationship Id="rId179" Type="http://schemas.openxmlformats.org/officeDocument/2006/relationships/hyperlink" Target="https://docs.google.com/document/d/11LUW4nImLL2VCang5PJ7cLVCFWz-CjiKqUqJ_HbiNps/edit?usp=drivesdk" TargetMode="External"/><Relationship Id="rId178" Type="http://schemas.openxmlformats.org/officeDocument/2006/relationships/hyperlink" Target="https://docs.google.com/document/d/1DNIq0wzeNWUwiAtF1A6y2apDmVYUyxp0F_HcP7KUI7Y/edit?usp=drivesdk" TargetMode="External"/><Relationship Id="rId177" Type="http://schemas.openxmlformats.org/officeDocument/2006/relationships/hyperlink" Target="https://docs.google.com/document/d/16FRMH9pvrn094VUr6YVuE0Svw8y2I_6yQrmHhGLVdRc/edit?usp=drivesdk" TargetMode="External"/><Relationship Id="rId20" Type="http://schemas.openxmlformats.org/officeDocument/2006/relationships/hyperlink" Target="https://docs.google.com/document/d/1aStmCNgNw648FMvGyU2h9nBZYNsdAucbE6FPF8rfQ_k/edit?usp=drivesdk" TargetMode="External"/><Relationship Id="rId22" Type="http://schemas.openxmlformats.org/officeDocument/2006/relationships/hyperlink" Target="https://docs.google.com/document/d/1o1jgvNDw0WSVyJc7KXTTikQKPU312b8aJbswkUTtUv0/edit?usp=drivesdk" TargetMode="External"/><Relationship Id="rId21" Type="http://schemas.openxmlformats.org/officeDocument/2006/relationships/hyperlink" Target="https://docs.google.com/document/d/1zGTdtjy0qgfa5_5veWCzPbdgXuQ1r9brBZ_K92Pl5Zs/edit?usp=drivesdk" TargetMode="External"/><Relationship Id="rId24" Type="http://schemas.openxmlformats.org/officeDocument/2006/relationships/hyperlink" Target="https://docs.google.com/document/d/1Vu0cQXmvHm4X8XOahue_-fFq_0jeTOr47lCLr-jAKx8/edit?usp=drivesdk" TargetMode="External"/><Relationship Id="rId23" Type="http://schemas.openxmlformats.org/officeDocument/2006/relationships/hyperlink" Target="https://docs.google.com/document/d/1KVGTIJYjeDHXJhqGb8Q19wyRXDUirwaSWUBrNcQvgj4/edit?usp=drivesdk" TargetMode="External"/><Relationship Id="rId26" Type="http://schemas.openxmlformats.org/officeDocument/2006/relationships/hyperlink" Target="https://docs.google.com/document/d/1xz3-eB5suW3qnIExsTRxXZGbRco9CMxtuSgV5b7LXUU/edit?usp=drivesdk" TargetMode="External"/><Relationship Id="rId25" Type="http://schemas.openxmlformats.org/officeDocument/2006/relationships/hyperlink" Target="https://docs.google.com/document/d/1vHQZLYPa3jvTaujIl3Zn4KTeCwOiEyb8jnqYXud5Q04/edit?usp=drivesdk" TargetMode="External"/><Relationship Id="rId28" Type="http://schemas.openxmlformats.org/officeDocument/2006/relationships/hyperlink" Target="https://docs.google.com/document/d/1U6lLwui_IXPwR1o08ucvLU2HzZKjYRWNkQECOTzcgHU/edit?usp=drivesdk" TargetMode="External"/><Relationship Id="rId27" Type="http://schemas.openxmlformats.org/officeDocument/2006/relationships/hyperlink" Target="https://docs.google.com/document/d/1DWtiqqQi02vWsrWulnCb1D-v4-DWcLFnxh9_mu9tVis/edit?usp=drivesdk" TargetMode="External"/><Relationship Id="rId29" Type="http://schemas.openxmlformats.org/officeDocument/2006/relationships/hyperlink" Target="https://docs.google.com/document/d/1vy7ouz6m3VcT3mIrGvk61tcnbMkjs9gJ1O-zwyCk2KU/edit?usp=drivesdk" TargetMode="External"/><Relationship Id="rId11" Type="http://schemas.openxmlformats.org/officeDocument/2006/relationships/hyperlink" Target="https://docs.google.com/document/d/15pdKva4Luerd5l_lis1czhIQqTFvAyWuOkl8_hbh2hc/edit?usp=drivesdk" TargetMode="External"/><Relationship Id="rId10" Type="http://schemas.openxmlformats.org/officeDocument/2006/relationships/hyperlink" Target="https://docs.google.com/document/d/1FDYnRS8yRXtWhAdm7BcMhSa1Jk10axou2FuaGlB1l5s/edit?usp=drivesdk" TargetMode="External"/><Relationship Id="rId13" Type="http://schemas.openxmlformats.org/officeDocument/2006/relationships/hyperlink" Target="https://docs.google.com/document/d/1fcQB7F4D3a5gNW8KrcSBn2M7Vq4kx7iKKZX0TthWEg8/edit?usp=drivesdk" TargetMode="External"/><Relationship Id="rId12" Type="http://schemas.openxmlformats.org/officeDocument/2006/relationships/hyperlink" Target="https://docs.google.com/document/d/1YD-ZZtfI4fRSiHn-cZJiWNcVrbUkNEjp0gOJxAJTUBM/edit?usp=drivesdk" TargetMode="External"/><Relationship Id="rId15" Type="http://schemas.openxmlformats.org/officeDocument/2006/relationships/hyperlink" Target="https://docs.google.com/document/d/1sbEFLLVX7p5EjBHVOUlnkkHRPzvVHycMzrv7OagQK40/edit?usp=drivesdk" TargetMode="External"/><Relationship Id="rId14" Type="http://schemas.openxmlformats.org/officeDocument/2006/relationships/hyperlink" Target="https://docs.google.com/document/d/1VzeFB7bpYDuAlz78lt0aERpQ39mQyblkg2qTaCc4h-Q/edit?usp=drivesdk" TargetMode="External"/><Relationship Id="rId17" Type="http://schemas.openxmlformats.org/officeDocument/2006/relationships/hyperlink" Target="https://docs.google.com/document/d/12CBN5JD7zQQJx4Iom_GKTX1Qf1QbT3wF51zcxuGPzoI/edit?usp=drivesdk" TargetMode="External"/><Relationship Id="rId16" Type="http://schemas.openxmlformats.org/officeDocument/2006/relationships/hyperlink" Target="https://docs.google.com/document/d/17wla-J4Pdd6rSJRGSNDgN_NdPLurYQ78fdjchZ8IdeY/edit?usp=drivesdk" TargetMode="External"/><Relationship Id="rId19" Type="http://schemas.openxmlformats.org/officeDocument/2006/relationships/hyperlink" Target="https://docs.google.com/document/d/1yYeTVHf0z5jCQBlsesvjowvxm0QKe3--TmlFXOHBvSs/edit?usp=drivesdk" TargetMode="External"/><Relationship Id="rId18" Type="http://schemas.openxmlformats.org/officeDocument/2006/relationships/hyperlink" Target="https://docs.google.com/document/d/1XC-hOlaELFLJZNv8x4y3hbNA1YqEkpzzFjl2lcC0bHo/edit?usp=drivesdk" TargetMode="External"/><Relationship Id="rId84" Type="http://schemas.openxmlformats.org/officeDocument/2006/relationships/hyperlink" Target="https://docs.google.com/document/d/1CynnWLg147dkNtfJ9GuGkn2qV8J6V8Dc5RY9qcqcUyI/edit?usp=drivesdk" TargetMode="External"/><Relationship Id="rId83" Type="http://schemas.openxmlformats.org/officeDocument/2006/relationships/hyperlink" Target="https://docs.google.com/document/d/1YuBd82_8bKySRSv6wTrepbiHcu63GiOdVmGbk1IT5cQ/edit?usp=drivesdk" TargetMode="External"/><Relationship Id="rId86" Type="http://schemas.openxmlformats.org/officeDocument/2006/relationships/hyperlink" Target="https://docs.google.com/document/d/1xi-GNRqUeGSKTZeQJPhaKEhaDv_P6rbESQtRenvfhwU/edit?usp=drivesdk" TargetMode="External"/><Relationship Id="rId85" Type="http://schemas.openxmlformats.org/officeDocument/2006/relationships/hyperlink" Target="https://docs.google.com/document/d/1DCjxt9rx3_ZZcQVj3kAyXfHUZ-FKaNBqKzpgTeX1nFs/edit?usp=drivesdk" TargetMode="External"/><Relationship Id="rId88" Type="http://schemas.openxmlformats.org/officeDocument/2006/relationships/hyperlink" Target="https://docs.google.com/document/d/1dyMTcqQHDdQKe0FIqWKWDeod17sGPebyWBXz8zcE3B8/edit?usp=drivesdk" TargetMode="External"/><Relationship Id="rId150" Type="http://schemas.openxmlformats.org/officeDocument/2006/relationships/hyperlink" Target="https://docs.google.com/document/d/1w484017dhnFp_WA7r0C7ej4-HIJJHg6fcnsL9s6IEAA/edit?usp=drivesdk" TargetMode="External"/><Relationship Id="rId87" Type="http://schemas.openxmlformats.org/officeDocument/2006/relationships/hyperlink" Target="https://docs.google.com/document/d/1OW8zc-DN1Tt0kKp4tyo10JPLrGBP3yj8sEPYgREdwoo/edit?usp=drivesdk" TargetMode="External"/><Relationship Id="rId89" Type="http://schemas.openxmlformats.org/officeDocument/2006/relationships/hyperlink" Target="https://docs.google.com/document/d/1RB7prV3DAIwbrayV3EE8Oee4JK9r3CsM1WJfUUPpfc0/edit?usp=drivesdk" TargetMode="External"/><Relationship Id="rId80" Type="http://schemas.openxmlformats.org/officeDocument/2006/relationships/hyperlink" Target="https://docs.google.com/document/d/1iQ9oxrKl7IXnGeCcp7SsDjzfdqV_WBJJQ0pXtTWiIzY/edit?usp=drivesdk" TargetMode="External"/><Relationship Id="rId82" Type="http://schemas.openxmlformats.org/officeDocument/2006/relationships/hyperlink" Target="https://docs.google.com/document/d/1nIZv781vs0vFoMkuM-TaLZHD-zAcysZ1TTCkViaGN8M/edit?usp=drivesdk" TargetMode="External"/><Relationship Id="rId81" Type="http://schemas.openxmlformats.org/officeDocument/2006/relationships/hyperlink" Target="https://docs.google.com/document/d/1CTMF2mVrkJuMmaBoY_4jyJxYAFTM0o33vtIkOB-uHvM/edit?usp=drivesdk" TargetMode="External"/><Relationship Id="rId1" Type="http://schemas.openxmlformats.org/officeDocument/2006/relationships/hyperlink" Target="https://docs.google.com/document/d/1B39eY7nCdBCWWuZuCKpt54yX3aa5YEuTAf5qX4WkNjw/edit?usp=drivesdk" TargetMode="External"/><Relationship Id="rId2" Type="http://schemas.openxmlformats.org/officeDocument/2006/relationships/hyperlink" Target="https://docs.google.com/document/d/1HpS3qb_EVb4IQ6M_U8tD0ofaAnh--UldZz06mDOKPU0/edit?usp=drivesdk" TargetMode="External"/><Relationship Id="rId3" Type="http://schemas.openxmlformats.org/officeDocument/2006/relationships/hyperlink" Target="https://docs.google.com/document/d/1zWgV30tJB1LNYWI6fq51RGGoYZZMq5fulCF0SpJLMfg/edit?usp=drivesdk" TargetMode="External"/><Relationship Id="rId149" Type="http://schemas.openxmlformats.org/officeDocument/2006/relationships/hyperlink" Target="https://docs.google.com/document/d/1OCF9Bd48l3DOYFZd2DF_gbtGOOFQJmmElUEdMW_blyg/edit?usp=drivesdk" TargetMode="External"/><Relationship Id="rId4" Type="http://schemas.openxmlformats.org/officeDocument/2006/relationships/hyperlink" Target="https://docs.google.com/document/d/1ASPKqONCpfd-VdsR0jYzyUDW_03OqgPLRhsq9I2DcjE/edit?usp=drivesdk" TargetMode="External"/><Relationship Id="rId148" Type="http://schemas.openxmlformats.org/officeDocument/2006/relationships/hyperlink" Target="https://docs.google.com/document/d/1JoevkxMAxuMjnppBlPYI6z8SN6ldR4r2EMKm9LhwwlA/edit?usp=drivesdk" TargetMode="External"/><Relationship Id="rId9" Type="http://schemas.openxmlformats.org/officeDocument/2006/relationships/hyperlink" Target="https://docs.google.com/document/d/1LrydHDj301LPvydNHKHAGssddiSIMm5kNntcJsprr0Q/edit?usp=drivesdk" TargetMode="External"/><Relationship Id="rId143" Type="http://schemas.openxmlformats.org/officeDocument/2006/relationships/hyperlink" Target="https://docs.google.com/document/d/1rJqWwE_42u2yQyQxPe5eJwIektu4Hcd8xCxanAaVOec/edit?usp=drivesdk" TargetMode="External"/><Relationship Id="rId142" Type="http://schemas.openxmlformats.org/officeDocument/2006/relationships/hyperlink" Target="https://docs.google.com/document/d/1LJe0V-Lqj4Cdb2X53sseqdDHEm_ejTIltaFL8mdFxXI/edit?usp=drivesdk" TargetMode="External"/><Relationship Id="rId141" Type="http://schemas.openxmlformats.org/officeDocument/2006/relationships/hyperlink" Target="https://docs.google.com/document/d/1arlj630XMZSU6QAlbUob3uVvf6ffnhDuEbRR2F5Tpcs/edit?usp=drivesdk" TargetMode="External"/><Relationship Id="rId140" Type="http://schemas.openxmlformats.org/officeDocument/2006/relationships/hyperlink" Target="https://docs.google.com/document/d/1C_etuc4JjyWF1MHLpoQBUhTpokOzBp9Qcn3caR0COsQ/edit?usp=drivesdk" TargetMode="External"/><Relationship Id="rId5" Type="http://schemas.openxmlformats.org/officeDocument/2006/relationships/hyperlink" Target="https://docs.google.com/document/d/1C7B2hlESuQRlcNGZhmnnzHrWb4bxjchlM6YU9zBZHPQ/edit?usp=drivesdk" TargetMode="External"/><Relationship Id="rId147" Type="http://schemas.openxmlformats.org/officeDocument/2006/relationships/hyperlink" Target="https://docs.google.com/document/d/1RJsiZIDkgPYzFfIV1exqLicXEAGayhTws7IBZODqTXc/edit?usp=drivesdk" TargetMode="External"/><Relationship Id="rId6" Type="http://schemas.openxmlformats.org/officeDocument/2006/relationships/hyperlink" Target="https://docs.google.com/document/d/1tnok4EEuZ9ZBn9cULVsI0ouSKFDmjfBTOQtzheZ-sP0/edit?usp=drivesdk" TargetMode="External"/><Relationship Id="rId146" Type="http://schemas.openxmlformats.org/officeDocument/2006/relationships/hyperlink" Target="https://docs.google.com/document/d/12O6LmlCU8cNK4Tj1yFsjFJmAAP7E0boV5JfLw4rdZ1c/edit?usp=drivesdk" TargetMode="External"/><Relationship Id="rId7" Type="http://schemas.openxmlformats.org/officeDocument/2006/relationships/hyperlink" Target="https://docs.google.com/document/d/1FxQOUMqkw0qXXHIChqAbaTZ6Uu6PoC8Y9lFAvTaQM28/edit?usp=drivesdk" TargetMode="External"/><Relationship Id="rId145" Type="http://schemas.openxmlformats.org/officeDocument/2006/relationships/hyperlink" Target="https://docs.google.com/document/d/1g2Rw4UTT0PamI9G4YCrUo5U5kVjpLpLLrjoKk0w9hZg/edit?usp=drivesdk" TargetMode="External"/><Relationship Id="rId8" Type="http://schemas.openxmlformats.org/officeDocument/2006/relationships/hyperlink" Target="https://docs.google.com/document/d/1zbZ9TkUmChNCDDRG8EA_ru-Q6ijKKQe02CS9f0K3BUA/edit?usp=drivesdk" TargetMode="External"/><Relationship Id="rId144" Type="http://schemas.openxmlformats.org/officeDocument/2006/relationships/hyperlink" Target="https://docs.google.com/document/d/1CXWZyvopUPV1eV-56Wmo2fSfhIYoP7sspp8oDlrMyzg/edit?usp=drivesdk" TargetMode="External"/><Relationship Id="rId73" Type="http://schemas.openxmlformats.org/officeDocument/2006/relationships/hyperlink" Target="https://docs.google.com/document/d/1p-K3WsMYUBGSH-Hsl7afKGz6owPOstWjwCYbSh_WE_U/edit?usp=drivesdk" TargetMode="External"/><Relationship Id="rId72" Type="http://schemas.openxmlformats.org/officeDocument/2006/relationships/hyperlink" Target="https://docs.google.com/document/d/1Gl9qUzGCF72HSpqYFkSCegVOOY5vqdkXtKa0TU_EEi0/edit?usp=drivesdk" TargetMode="External"/><Relationship Id="rId75" Type="http://schemas.openxmlformats.org/officeDocument/2006/relationships/hyperlink" Target="https://docs.google.com/document/d/1wV4VSLaFDOz5SaT06vW5oEE5hSEHWhzAVC70Z-P517Q/edit?usp=drivesdk" TargetMode="External"/><Relationship Id="rId74" Type="http://schemas.openxmlformats.org/officeDocument/2006/relationships/hyperlink" Target="https://docs.google.com/document/d/1IEfRIs6Kob2piZdSfZNL-3VGQVaClGX0C3TUKsYjGIc/edit?usp=drivesdk" TargetMode="External"/><Relationship Id="rId77" Type="http://schemas.openxmlformats.org/officeDocument/2006/relationships/hyperlink" Target="https://docs.google.com/document/d/16RYkIRMNLiDFy7dOMAs5UM0APUszbDfDBxjyJKOaSfI/edit?usp=drivesdk" TargetMode="External"/><Relationship Id="rId76" Type="http://schemas.openxmlformats.org/officeDocument/2006/relationships/hyperlink" Target="https://docs.google.com/document/d/1EiZtIhOk1NQGX8gce9Z0n0bO9vqwvmwVDp3q-6xI1a8/edit?usp=drivesdk" TargetMode="External"/><Relationship Id="rId79" Type="http://schemas.openxmlformats.org/officeDocument/2006/relationships/hyperlink" Target="https://docs.google.com/document/d/10fQ4VldUkdB7FOtFl1Er0w0EMmTM5Z4jxfBjBgPEfzQ/edit?usp=drivesdk" TargetMode="External"/><Relationship Id="rId78" Type="http://schemas.openxmlformats.org/officeDocument/2006/relationships/hyperlink" Target="https://docs.google.com/document/d/1rsdx_E3EjyPWbJLivEuT8Volxxd-8s_qecdiDYMsZNM/edit?usp=drivesdk" TargetMode="External"/><Relationship Id="rId71" Type="http://schemas.openxmlformats.org/officeDocument/2006/relationships/hyperlink" Target="https://docs.google.com/document/d/12CC3WOZpc6ciHGv3d_sdxc2s8Y0bVbYN094r7q_p6Yw/edit?usp=drivesdk" TargetMode="External"/><Relationship Id="rId70" Type="http://schemas.openxmlformats.org/officeDocument/2006/relationships/hyperlink" Target="https://docs.google.com/document/d/1jji8g0msoZChVihTEv9umAlS2ErCuydY5jvrlHKDcd4/edit?usp=drivesdk" TargetMode="External"/><Relationship Id="rId139" Type="http://schemas.openxmlformats.org/officeDocument/2006/relationships/hyperlink" Target="https://docs.google.com/document/d/16erW9TfIN0HCoCVJBBMjf3KUz_rJMKZnkT4FDbkAaL0/edit?usp=drivesdk" TargetMode="External"/><Relationship Id="rId138" Type="http://schemas.openxmlformats.org/officeDocument/2006/relationships/hyperlink" Target="https://docs.google.com/document/d/1abMW9Wc221RkoapYeFmtu7l-j5Ky8BVwfTZcD7rERX0/edit?usp=drivesdk" TargetMode="External"/><Relationship Id="rId137" Type="http://schemas.openxmlformats.org/officeDocument/2006/relationships/hyperlink" Target="https://docs.google.com/document/d/1JoRBNBVe3d0rReQw64FZpgZhEMbEwY8Mmcy2-TNqWOY/edit?usp=drivesdk" TargetMode="External"/><Relationship Id="rId132" Type="http://schemas.openxmlformats.org/officeDocument/2006/relationships/hyperlink" Target="https://docs.google.com/document/d/1zNeIHSoBqDgIXstnpNrg71U5cSbKzyOyOPohTNu4KGE/edit?usp=drivesdk" TargetMode="External"/><Relationship Id="rId131" Type="http://schemas.openxmlformats.org/officeDocument/2006/relationships/hyperlink" Target="https://docs.google.com/document/d/1dmPmllyqf5PwZpBRvCTiv_jcdTWsr6fvSHN2D_488-4/edit?usp=drivesdk" TargetMode="External"/><Relationship Id="rId130" Type="http://schemas.openxmlformats.org/officeDocument/2006/relationships/hyperlink" Target="https://docs.google.com/document/d/17Znj6HQPVop_s5nfb9c7R7rSROQRkoOF8yukpnFJb7g/edit?usp=drivesdk" TargetMode="External"/><Relationship Id="rId136" Type="http://schemas.openxmlformats.org/officeDocument/2006/relationships/hyperlink" Target="https://docs.google.com/document/d/1gDcijjXYfhRGdiRw--Kk5Ug6NPSGedEmFNvUO1PE8oM/edit?usp=drivesdk" TargetMode="External"/><Relationship Id="rId135" Type="http://schemas.openxmlformats.org/officeDocument/2006/relationships/hyperlink" Target="https://docs.google.com/document/d/1K9xJGwMff2XRqU6DPUrZluOk_Cwytt-XEimtOckN5k4/edit?usp=drivesdk" TargetMode="External"/><Relationship Id="rId134" Type="http://schemas.openxmlformats.org/officeDocument/2006/relationships/hyperlink" Target="https://docs.google.com/document/d/1hQ9zossf3V3QMdB2xapJ7YTZQiV5obZhZYffsXKfr6Q/edit?usp=drivesdk" TargetMode="External"/><Relationship Id="rId133" Type="http://schemas.openxmlformats.org/officeDocument/2006/relationships/hyperlink" Target="https://docs.google.com/document/d/1vEAasniGuGUsfOoBsMXzuXHwbcI9w3NDLHN4a5iNV0Y/edit?usp=drivesdk" TargetMode="External"/><Relationship Id="rId62" Type="http://schemas.openxmlformats.org/officeDocument/2006/relationships/hyperlink" Target="https://docs.google.com/document/d/15YFNR9rAX_vHVS1ye5MFaB_khDW_ZPRO6_kFzewA5Fc/edit?usp=drivesdk" TargetMode="External"/><Relationship Id="rId61" Type="http://schemas.openxmlformats.org/officeDocument/2006/relationships/hyperlink" Target="https://docs.google.com/document/d/1ZCLcR8nnc6h9_MrJmAm_gQH2YgCEecbrGymJTqRRvWg/edit?usp=drivesdk" TargetMode="External"/><Relationship Id="rId64" Type="http://schemas.openxmlformats.org/officeDocument/2006/relationships/hyperlink" Target="https://docs.google.com/document/d/1s56OXjNJULwWAqwv-QZ2z8sRYAMMe_JNLXueSTcU8Fo/edit?usp=drivesdk" TargetMode="External"/><Relationship Id="rId63" Type="http://schemas.openxmlformats.org/officeDocument/2006/relationships/hyperlink" Target="https://docs.google.com/document/d/1Ow0YbfQNMBquCsprH1rlghiSyZk7xS_-U7JpNKOPuGY/edit?usp=drivesdk" TargetMode="External"/><Relationship Id="rId66" Type="http://schemas.openxmlformats.org/officeDocument/2006/relationships/hyperlink" Target="https://docs.google.com/document/d/1AUamK7jcz3oRm0e9Wdg1OVE1JLRCFcVTq58Jd2QYBvE/edit?usp=drivesdk" TargetMode="External"/><Relationship Id="rId172" Type="http://schemas.openxmlformats.org/officeDocument/2006/relationships/hyperlink" Target="https://docs.google.com/document/d/1SJedls0QD2tEbs1kM81GaliTz95lXG662oYO6KGEZwI/edit?usp=drivesdk" TargetMode="External"/><Relationship Id="rId65" Type="http://schemas.openxmlformats.org/officeDocument/2006/relationships/hyperlink" Target="https://docs.google.com/document/d/1Yh-QASuxaY9DgWOUc-7-KjYDt3u5dFoypqLO1QCyk58/edit?usp=drivesdk" TargetMode="External"/><Relationship Id="rId171" Type="http://schemas.openxmlformats.org/officeDocument/2006/relationships/hyperlink" Target="https://docs.google.com/document/d/1aeHS39qqMEkRi1nfetsByZai56RdU24mV-3KIzcC1So/edit?usp=drivesdk" TargetMode="External"/><Relationship Id="rId68" Type="http://schemas.openxmlformats.org/officeDocument/2006/relationships/hyperlink" Target="https://docs.google.com/document/d/18eKJxGYp-kqoPM6gXvaF5KdWql6qSPWFE11ajMmEaH0/edit?usp=drivesdk" TargetMode="External"/><Relationship Id="rId170" Type="http://schemas.openxmlformats.org/officeDocument/2006/relationships/hyperlink" Target="https://docs.google.com/document/d/1irp_XhmkRlMAJqRpSSd86QcO-_M0QGQZcaxtguNBv6U/edit?usp=drivesdk" TargetMode="External"/><Relationship Id="rId67" Type="http://schemas.openxmlformats.org/officeDocument/2006/relationships/hyperlink" Target="https://docs.google.com/document/d/1bqfqtL8GVYprCNoYJkiZmZ6IeJNLvwdcakEH9-ZOqnc/edit?usp=drivesdk" TargetMode="External"/><Relationship Id="rId60" Type="http://schemas.openxmlformats.org/officeDocument/2006/relationships/hyperlink" Target="https://docs.google.com/document/d/1Jf4Wphtn7pdRmeqfE9FwPCzez7Iz_IiX0JEaQi8wars/edit?usp=drivesdk" TargetMode="External"/><Relationship Id="rId165" Type="http://schemas.openxmlformats.org/officeDocument/2006/relationships/hyperlink" Target="https://docs.google.com/document/d/1R8ncR_THpI9ZcTU-XHXRxphDG2zvyGMtwBDLVfJB_MY/edit?usp=drivesdk" TargetMode="External"/><Relationship Id="rId69" Type="http://schemas.openxmlformats.org/officeDocument/2006/relationships/hyperlink" Target="https://docs.google.com/document/d/1cNu-MeShbSsrMZ_Lp5oKC92l41JZnqp8hP-F2bC8Fqo/edit?usp=drivesdk" TargetMode="External"/><Relationship Id="rId164" Type="http://schemas.openxmlformats.org/officeDocument/2006/relationships/hyperlink" Target="https://docs.google.com/document/d/1Gs73UKNXcEvp4XsJMSR2C86DMpZLngexKaNSNmcJ-0k/edit?usp=drivesdk" TargetMode="External"/><Relationship Id="rId163" Type="http://schemas.openxmlformats.org/officeDocument/2006/relationships/hyperlink" Target="https://docs.google.com/document/d/1Uq-Qqo-rUAgIvEX6X4BiVHjmJHC0_lUm1w8pD_2s9nw/edit?usp=drivesdk" TargetMode="External"/><Relationship Id="rId162" Type="http://schemas.openxmlformats.org/officeDocument/2006/relationships/hyperlink" Target="https://docs.google.com/document/d/1o1dzrOKEP-ckPU1TubTnoVilNkdzP_I9Hp52soF8qOs/edit?usp=drivesdk" TargetMode="External"/><Relationship Id="rId169" Type="http://schemas.openxmlformats.org/officeDocument/2006/relationships/hyperlink" Target="https://docs.google.com/document/d/1ChOj1EFv5DXUC4wukpNt9JmZgaP4SiOz5CPu2nbzoLc/edit?usp=drivesdk" TargetMode="External"/><Relationship Id="rId168" Type="http://schemas.openxmlformats.org/officeDocument/2006/relationships/hyperlink" Target="https://docs.google.com/document/d/13YwlBlPxvCqC1VY2JA29lRr4aqczvb7S__q1RtIzLcs/edit?usp=drivesdk" TargetMode="External"/><Relationship Id="rId167" Type="http://schemas.openxmlformats.org/officeDocument/2006/relationships/hyperlink" Target="https://docs.google.com/document/d/1bt1zkTJyMfUvcPz2LscQaeb15x7z5Eb8wyR2uMXCWfw/edit?usp=drivesdk" TargetMode="External"/><Relationship Id="rId166" Type="http://schemas.openxmlformats.org/officeDocument/2006/relationships/hyperlink" Target="https://docs.google.com/document/d/1ifi_g-20BarnNmjgMAdFad__lHrCz7CQah5OgKksMYA/edit?usp=drivesdk" TargetMode="External"/><Relationship Id="rId51" Type="http://schemas.openxmlformats.org/officeDocument/2006/relationships/hyperlink" Target="https://docs.google.com/document/d/1zYW0rcaSRA8LigJCAtUYVczyF1JsPcj6Uyt-5l3F9jY/edit?usp=drivesdk" TargetMode="External"/><Relationship Id="rId50" Type="http://schemas.openxmlformats.org/officeDocument/2006/relationships/hyperlink" Target="https://docs.google.com/document/d/1cILfXY3OprcB2W4Im-_9lnakRE0L__t0x_GvdOTtkww/edit?usp=drivesdk" TargetMode="External"/><Relationship Id="rId53" Type="http://schemas.openxmlformats.org/officeDocument/2006/relationships/hyperlink" Target="https://docs.google.com/document/d/17hC61sTRx_57dmJAhh15FKJsCMx4Rg9zct4nZhDLaoY/edit?usp=drivesdk" TargetMode="External"/><Relationship Id="rId52" Type="http://schemas.openxmlformats.org/officeDocument/2006/relationships/hyperlink" Target="https://docs.google.com/document/d/1Ahke6JLKiQCkAm4avqPoRMDo9LmoQAyoRmXfPz1fIis/edit?usp=drivesdk" TargetMode="External"/><Relationship Id="rId55" Type="http://schemas.openxmlformats.org/officeDocument/2006/relationships/hyperlink" Target="https://docs.google.com/document/d/1NB_nAce0ISPW9p-mH4hhpnnL50sZ7VaxIXQoKHET12k/edit?usp=drivesdk" TargetMode="External"/><Relationship Id="rId161" Type="http://schemas.openxmlformats.org/officeDocument/2006/relationships/hyperlink" Target="https://docs.google.com/document/d/1je_IEfD8YKgaOl9qxH0Favw1rkWcz4BR_N_4MoBeS0o/edit?usp=drivesdk" TargetMode="External"/><Relationship Id="rId54" Type="http://schemas.openxmlformats.org/officeDocument/2006/relationships/hyperlink" Target="https://docs.google.com/document/d/1ibJY_QLYA8FdkyyfD_NaIErH_z2eblqLx5L5nU9AZDg/edit?usp=drivesdk" TargetMode="External"/><Relationship Id="rId160" Type="http://schemas.openxmlformats.org/officeDocument/2006/relationships/hyperlink" Target="https://docs.google.com/document/d/1pnN5MR_IG-4NS3I5P9AaZwupNsKfrK_hnDt5psC3IL0/edit?usp=drivesdk" TargetMode="External"/><Relationship Id="rId57" Type="http://schemas.openxmlformats.org/officeDocument/2006/relationships/hyperlink" Target="https://docs.google.com/document/d/1WLkaOYSJ2l4TvxMWcUGn2DlJTkUZTPEVhJvtsq_Ijzo/edit?usp=drivesdk" TargetMode="External"/><Relationship Id="rId56" Type="http://schemas.openxmlformats.org/officeDocument/2006/relationships/hyperlink" Target="https://docs.google.com/document/d/1XxRi2R4W57nMWYfMSlcldOJ6jcS4ynXw1kFNaCD281I/edit?usp=drivesdk" TargetMode="External"/><Relationship Id="rId159" Type="http://schemas.openxmlformats.org/officeDocument/2006/relationships/hyperlink" Target="https://docs.google.com/document/d/1wfiTVAEONDehoA8IJ7asZNPxybhnmwOvq_4w_XN_DXc/edit?usp=drivesdk" TargetMode="External"/><Relationship Id="rId59" Type="http://schemas.openxmlformats.org/officeDocument/2006/relationships/hyperlink" Target="https://docs.google.com/document/d/1m_KdRgCB7kaTrCCbKYWm0qr8lFhHc0Q2hy6JVlGagvo/edit?usp=drivesdk" TargetMode="External"/><Relationship Id="rId154" Type="http://schemas.openxmlformats.org/officeDocument/2006/relationships/hyperlink" Target="https://docs.google.com/document/d/1emdNjPcYpVugQYwFaFTU5OyPeEeNASAs7u_cUrIN-W0/edit?usp=drivesdk" TargetMode="External"/><Relationship Id="rId58" Type="http://schemas.openxmlformats.org/officeDocument/2006/relationships/hyperlink" Target="https://docs.google.com/document/d/1N4QxpFPr4K2aq8_TTNo7EwzX8h3aGPJbMaj9_VoUakk/edit?usp=drivesdk" TargetMode="External"/><Relationship Id="rId153" Type="http://schemas.openxmlformats.org/officeDocument/2006/relationships/hyperlink" Target="https://docs.google.com/document/d/10NBXnvRmZyyvcSOjkDMgb61tYKPySTiks4wIorcn8R8/edit?usp=drivesdk" TargetMode="External"/><Relationship Id="rId152" Type="http://schemas.openxmlformats.org/officeDocument/2006/relationships/hyperlink" Target="https://docs.google.com/document/d/1Llmm_P8mhgxgVg0Yx5MhekhY94BD34Bg81puUlMv4o0/edit?usp=drivesdk" TargetMode="External"/><Relationship Id="rId151" Type="http://schemas.openxmlformats.org/officeDocument/2006/relationships/hyperlink" Target="https://docs.google.com/document/d/1SVofjg4_cWZmx6suRDUCWVslqBQP6p6UvfRsc2cmVmY/edit?usp=drivesdk" TargetMode="External"/><Relationship Id="rId158" Type="http://schemas.openxmlformats.org/officeDocument/2006/relationships/hyperlink" Target="https://docs.google.com/document/d/11sRtAQlzLLovR7AxwrZs0ZWCpVfcBj7oyBxg71Fnelc/edit?usp=drivesdk" TargetMode="External"/><Relationship Id="rId157" Type="http://schemas.openxmlformats.org/officeDocument/2006/relationships/hyperlink" Target="https://docs.google.com/document/d/1uhOqEy_0x8fTY5kmOsV4u2wvyItReptkaAui_Av9eYY/edit?usp=drivesdk" TargetMode="External"/><Relationship Id="rId156" Type="http://schemas.openxmlformats.org/officeDocument/2006/relationships/hyperlink" Target="https://docs.google.com/document/d/1ak6eH1SRuVLgPvru89IUgHcx1KIrdjcRQKoTuuYVBq4/edit?usp=drivesdk" TargetMode="External"/><Relationship Id="rId155" Type="http://schemas.openxmlformats.org/officeDocument/2006/relationships/hyperlink" Target="https://docs.google.com/document/d/1gUbzAl0JUPn15R0fSdhiW3Pg4p3N8G9dqZrTtsYQAms/edit?usp=drivesdk" TargetMode="External"/><Relationship Id="rId107" Type="http://schemas.openxmlformats.org/officeDocument/2006/relationships/hyperlink" Target="https://docs.google.com/document/d/1LQzn1F04L65gkRwwO5v-Rwf1aWToEMiwVR_-TiAujRs/edit?usp=drivesdk" TargetMode="External"/><Relationship Id="rId106" Type="http://schemas.openxmlformats.org/officeDocument/2006/relationships/hyperlink" Target="https://docs.google.com/document/d/1JfubkdpkO-tzOozMfJmongWUgEoKIu_oxaBhSb9jP2s/edit?usp=drivesdk" TargetMode="External"/><Relationship Id="rId105" Type="http://schemas.openxmlformats.org/officeDocument/2006/relationships/hyperlink" Target="https://docs.google.com/document/d/1Mf7etWMyPEYKHNS8--XipGTS4Fmt8nCRQj46Y-oSI5Q/edit?usp=drivesdk" TargetMode="External"/><Relationship Id="rId104" Type="http://schemas.openxmlformats.org/officeDocument/2006/relationships/hyperlink" Target="https://docs.google.com/document/d/1yzqMg7nN4S_nlMzdDhFhD7SIuz6eJcDREgmxR36J-XM/edit?usp=drivesdk" TargetMode="External"/><Relationship Id="rId109" Type="http://schemas.openxmlformats.org/officeDocument/2006/relationships/hyperlink" Target="https://docs.google.com/document/d/1F0m_xt-1LtS7wtjV2fl7PmxdXGY7q_t55n2PJkOuVxw/edit?usp=drivesdk" TargetMode="External"/><Relationship Id="rId108" Type="http://schemas.openxmlformats.org/officeDocument/2006/relationships/hyperlink" Target="https://docs.google.com/document/d/1dgKfJXeVce0WpXUaYTD5QNRJZPTtPFc3MXEnhY7evxA/edit?usp=drivesdk" TargetMode="External"/><Relationship Id="rId103" Type="http://schemas.openxmlformats.org/officeDocument/2006/relationships/hyperlink" Target="https://docs.google.com/document/d/1CaeFA_o5833VD1Gec1XDCpSoPXehlbzqzwoJwvN5xmo/edit?usp=drivesdk" TargetMode="External"/><Relationship Id="rId102" Type="http://schemas.openxmlformats.org/officeDocument/2006/relationships/hyperlink" Target="https://docs.google.com/document/d/1jTg-UyiV62MBiC_pcFQ7hatU0dLbnPGvN-R3NwZUaEg/edit?usp=drivesdk" TargetMode="External"/><Relationship Id="rId101" Type="http://schemas.openxmlformats.org/officeDocument/2006/relationships/hyperlink" Target="https://docs.google.com/document/d/1kUUGa59c3LWIgI083dpflgPz3YlzWDUWJ3A59louaYk/edit?usp=drivesdk" TargetMode="External"/><Relationship Id="rId100" Type="http://schemas.openxmlformats.org/officeDocument/2006/relationships/hyperlink" Target="https://docs.google.com/document/d/1siLUBFHFWT467eWsigDfuDlvuHl3bWaN7XjfQN598e0/edit?usp=drivesdk" TargetMode="External"/><Relationship Id="rId129" Type="http://schemas.openxmlformats.org/officeDocument/2006/relationships/hyperlink" Target="https://docs.google.com/document/d/1oZyva3ZB3vMQngBQ8jGIemrRS1m8H6wC2OLN6qPbmEU/edit?usp=drivesdk" TargetMode="External"/><Relationship Id="rId128" Type="http://schemas.openxmlformats.org/officeDocument/2006/relationships/hyperlink" Target="https://docs.google.com/document/d/1YJRx8fEkj2UqEyVn6z7Vdoo_ek5y2XP-dO7U_Qep0b4/edit?usp=drivesdk" TargetMode="External"/><Relationship Id="rId127" Type="http://schemas.openxmlformats.org/officeDocument/2006/relationships/hyperlink" Target="https://docs.google.com/document/d/1tkrKAF0zID-xeYCFmI9bIZ6QhJ6kT1YQxtTVBsAL4vw/edit?usp=drivesdk" TargetMode="External"/><Relationship Id="rId126" Type="http://schemas.openxmlformats.org/officeDocument/2006/relationships/hyperlink" Target="https://docs.google.com/document/d/19UgK-1gqUqVKOGr9xyBWa9e3-4nWgoSqHzCDJbUYaw8/edit?usp=drivesdk" TargetMode="External"/><Relationship Id="rId121" Type="http://schemas.openxmlformats.org/officeDocument/2006/relationships/hyperlink" Target="https://docs.google.com/document/d/1sj4e6NADsTH8gqplLpSg3jmY62swPFDd3hGC43caURk/edit?usp=drivesdk" TargetMode="External"/><Relationship Id="rId120" Type="http://schemas.openxmlformats.org/officeDocument/2006/relationships/hyperlink" Target="https://docs.google.com/document/d/1XKMKII0bg7UxlXKHH-1-8mizjJrHhMctXXV1THQF6Oo/edit?usp=drivesdk" TargetMode="External"/><Relationship Id="rId125" Type="http://schemas.openxmlformats.org/officeDocument/2006/relationships/hyperlink" Target="https://docs.google.com/document/d/1zjom5NMEHAtDxlWXBMS74O7rfqZaM4nRawFsFVQ9_Bk/edit?usp=drivesdk" TargetMode="External"/><Relationship Id="rId124" Type="http://schemas.openxmlformats.org/officeDocument/2006/relationships/hyperlink" Target="https://docs.google.com/document/d/1VE97YBuL3kusMHpxlP1bjdvkFB7wQa8cc82BAWj-xVI/edit?usp=drivesdk" TargetMode="External"/><Relationship Id="rId123" Type="http://schemas.openxmlformats.org/officeDocument/2006/relationships/hyperlink" Target="https://docs.google.com/document/d/1bAiJHN0---p2gSJuzgUhQyjT6QMq_T2Yx5v3o5NjbWs/edit?usp=drivesdk" TargetMode="External"/><Relationship Id="rId122" Type="http://schemas.openxmlformats.org/officeDocument/2006/relationships/hyperlink" Target="https://docs.google.com/document/d/1Mllhr_VVO3WkbnD0qZOS9gJQdkMLxL0DJr3IVSniiQA/edit?usp=drivesdk" TargetMode="External"/><Relationship Id="rId95" Type="http://schemas.openxmlformats.org/officeDocument/2006/relationships/hyperlink" Target="https://docs.google.com/document/d/1t2wxu_4oQk8mnjRddsooDet5ntUcRINLQzzuhWsidb0/edit?usp=drivesdk" TargetMode="External"/><Relationship Id="rId94" Type="http://schemas.openxmlformats.org/officeDocument/2006/relationships/hyperlink" Target="https://docs.google.com/document/d/104DMTjMsfTDXKadyDgFIAbu5dGjvMlnVB6XycVDcy90/edit?usp=drivesdk" TargetMode="External"/><Relationship Id="rId97" Type="http://schemas.openxmlformats.org/officeDocument/2006/relationships/hyperlink" Target="https://docs.google.com/document/d/1_gjcShdLPLBG3fxizcUDqA_aGnEOga1CzeipjIVzq-w/edit?usp=drivesdk" TargetMode="External"/><Relationship Id="rId96" Type="http://schemas.openxmlformats.org/officeDocument/2006/relationships/hyperlink" Target="https://docs.google.com/document/d/1lDa11hWX25ZC8klpO5IZ-RN43KXMvgnHcboJXTaTBWQ/edit?usp=drivesdk" TargetMode="External"/><Relationship Id="rId99" Type="http://schemas.openxmlformats.org/officeDocument/2006/relationships/hyperlink" Target="https://docs.google.com/document/d/1u5zgjCj7jd5bVHGZiX-mLHeYQ9JdJ64bHPO2l9dKDb0/edit?usp=drivesdk" TargetMode="External"/><Relationship Id="rId98" Type="http://schemas.openxmlformats.org/officeDocument/2006/relationships/hyperlink" Target="https://docs.google.com/document/d/1B3wpQPcVPc4UsGVMjDDLnrGZSa9ASxLGo9vMpnEfUok/edit?usp=drivesdk" TargetMode="External"/><Relationship Id="rId91" Type="http://schemas.openxmlformats.org/officeDocument/2006/relationships/hyperlink" Target="https://docs.google.com/document/d/1aSUqeBkx0Axn8iwqM-C6n9PXZcmWyuqMi3qHp_qmPvo/edit?usp=drivesdk" TargetMode="External"/><Relationship Id="rId90" Type="http://schemas.openxmlformats.org/officeDocument/2006/relationships/hyperlink" Target="https://docs.google.com/document/d/1ArsBmOQDa6iyghQbG25eRVgFbVq9g3roNj_ojrQCKQ0/edit?usp=drivesdk" TargetMode="External"/><Relationship Id="rId93" Type="http://schemas.openxmlformats.org/officeDocument/2006/relationships/hyperlink" Target="https://docs.google.com/document/d/1-x-mKh35ET0JFExKsq2fTkKqEkDaLD4Rwl2LfSkQf8Y/edit?usp=drivesdk" TargetMode="External"/><Relationship Id="rId92" Type="http://schemas.openxmlformats.org/officeDocument/2006/relationships/hyperlink" Target="https://docs.google.com/document/d/16ACRWYzXXiEhmn5Ban-7Uj4kfOHuoX5zXlFHEaMa8Ds/edit?usp=drivesdk" TargetMode="External"/><Relationship Id="rId118" Type="http://schemas.openxmlformats.org/officeDocument/2006/relationships/hyperlink" Target="https://docs.google.com/document/d/1ZLVh6jaoDn6l9FlOvnK3pd8ing1pbVHF8hE-Xx_IyFo/edit?usp=drivesdk" TargetMode="External"/><Relationship Id="rId117" Type="http://schemas.openxmlformats.org/officeDocument/2006/relationships/hyperlink" Target="https://docs.google.com/document/d/13kx9z-R3zvm7qt7aphwgtk2WaVo9VtQWRtrCZ1n8FGI/edit?usp=drivesdk" TargetMode="External"/><Relationship Id="rId116" Type="http://schemas.openxmlformats.org/officeDocument/2006/relationships/hyperlink" Target="https://docs.google.com/document/d/1c4Xr1uae6rjruati-FrnjHO3cCZYiR-d3s0g7JkjSTs/edit?usp=drivesdk" TargetMode="External"/><Relationship Id="rId115" Type="http://schemas.openxmlformats.org/officeDocument/2006/relationships/hyperlink" Target="https://docs.google.com/document/d/1EsTI1vfN1drioUlpbrVa6p2FvRFVbQ-28P1w4OxXnGQ/edit?usp=drivesdk" TargetMode="External"/><Relationship Id="rId119" Type="http://schemas.openxmlformats.org/officeDocument/2006/relationships/hyperlink" Target="https://docs.google.com/document/d/1necGOadpt2w--fxB2xy1MwRjMyFeC7GA4hGeLjgSJiM/edit?usp=drivesdk" TargetMode="External"/><Relationship Id="rId110" Type="http://schemas.openxmlformats.org/officeDocument/2006/relationships/hyperlink" Target="https://docs.google.com/document/d/1RU0AlM8uAMLnNHBNQhOgaRpuqZOF5wGZOBOTBs34PTc/edit?usp=drivesdk" TargetMode="External"/><Relationship Id="rId114" Type="http://schemas.openxmlformats.org/officeDocument/2006/relationships/hyperlink" Target="https://docs.google.com/document/d/1fpV42IwdiJjUkbw2okhzO0duMHzs1tBYF1RfTQI3ZxQ/edit?usp=drivesdk" TargetMode="External"/><Relationship Id="rId113" Type="http://schemas.openxmlformats.org/officeDocument/2006/relationships/hyperlink" Target="https://docs.google.com/document/d/1lTxueLruIOjBVfikTCnHiiCSDRJ_cEHPgymmkvt6iRk/edit?usp=drivesdk" TargetMode="External"/><Relationship Id="rId112" Type="http://schemas.openxmlformats.org/officeDocument/2006/relationships/hyperlink" Target="https://docs.google.com/document/d/13UTt5vruL3SzHqlQBJ3WCOAdvUXWZOaUhsIfy1RXJHQ/edit?usp=drivesdk" TargetMode="External"/><Relationship Id="rId111" Type="http://schemas.openxmlformats.org/officeDocument/2006/relationships/hyperlink" Target="https://docs.google.com/document/d/1GwyJuG5LlvTa9D9rzzKmmCLTPoMhQER7AIzX0Dq1R7w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88"/>
    <col customWidth="1" min="3" max="3" width="15.0"/>
    <col customWidth="1" min="4" max="4" width="10.38"/>
    <col customWidth="1" min="5" max="5" width="17.13"/>
    <col customWidth="1" min="6" max="8" width="12.63"/>
  </cols>
  <sheetData>
    <row r="1" ht="15.75" customHeight="1">
      <c r="A1" s="1" t="s">
        <v>0</v>
      </c>
    </row>
    <row r="2" ht="15.75" hidden="1" customHeight="1">
      <c r="A2" s="2" t="str">
        <f>IFERROR(__xludf.DUMMYFUNCTION("IFERROR(SPARKLINE(C4, {""charttype"",""bar""; ""max"",2400; ""color1"",""#42a5f5""}), """")"),"")</f>
        <v/>
      </c>
    </row>
    <row r="3" ht="15.75" customHeight="1">
      <c r="A3" s="3" t="s">
        <v>1</v>
      </c>
      <c r="C3" s="3" t="s">
        <v>2</v>
      </c>
      <c r="E3" s="3" t="s">
        <v>3</v>
      </c>
      <c r="G3" s="3" t="s">
        <v>4</v>
      </c>
    </row>
    <row r="4" ht="15.75" customHeight="1">
      <c r="A4" s="4">
        <f>SUM(B6:B17)</f>
        <v>2370</v>
      </c>
      <c r="C4" s="5">
        <f>SUM(C6:C17)</f>
        <v>1063</v>
      </c>
      <c r="E4" s="6">
        <f>SUM(D6:D17)</f>
        <v>1049</v>
      </c>
      <c r="G4" s="7">
        <f>C4-E4</f>
        <v>14</v>
      </c>
    </row>
    <row r="5" ht="15.75" customHeigh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</row>
    <row r="6" ht="15.75" customHeight="1">
      <c r="A6" s="9">
        <v>46023.0</v>
      </c>
      <c r="B6" s="10">
        <v>180.0</v>
      </c>
      <c r="C6" s="10">
        <v>180.0</v>
      </c>
      <c r="D6" s="10">
        <v>180.0</v>
      </c>
      <c r="E6" s="11">
        <f t="shared" ref="E6:E17" si="1">C6-D6</f>
        <v>0</v>
      </c>
      <c r="F6" s="12">
        <f t="shared" ref="F6:F17" si="2">IF(B6&gt;0, C6/B6, 0)</f>
        <v>1</v>
      </c>
      <c r="G6" s="11" t="str">
        <f>IFERROR(__xludf.DUMMYFUNCTION("IFERROR(SPARKLINE(C6, {""charttype"",""bar""; ""max"",B6; ""color1"",IF(C6&gt;=B6, ""#1976d2"", ""#64b5f6"")}), """")"),"")</f>
        <v/>
      </c>
      <c r="H6" s="11" t="str">
        <f>IFERROR(__xludf.DUMMYFUNCTION("IFERROR(SPARKLINE(D6, {""charttype"",""bar""; ""max"",B6; ""color1"",IF(D6&gt;=B6, ""#7b1fa2"", ""#ba68c8"")}), """")"),"")</f>
        <v/>
      </c>
    </row>
    <row r="7" ht="15.75" customHeight="1">
      <c r="A7" s="9">
        <v>46054.0</v>
      </c>
      <c r="B7" s="13">
        <v>170.0</v>
      </c>
      <c r="C7" s="10">
        <v>170.0</v>
      </c>
      <c r="D7" s="10">
        <v>170.0</v>
      </c>
      <c r="E7" s="11">
        <f t="shared" si="1"/>
        <v>0</v>
      </c>
      <c r="F7" s="12">
        <f t="shared" si="2"/>
        <v>1</v>
      </c>
      <c r="G7" s="11" t="str">
        <f>IFERROR(__xludf.DUMMYFUNCTION("IFERROR(SPARKLINE(C7, {""charttype"",""bar""; ""max"",B7; ""color1"",IF(C7&gt;=B7, ""#1976d2"", ""#64b5f6"")}), """")"),"")</f>
        <v/>
      </c>
      <c r="H7" s="11" t="str">
        <f>IFERROR(__xludf.DUMMYFUNCTION("IFERROR(SPARKLINE(D7, {""charttype"",""bar""; ""max"",B7; ""color1"",IF(D7&gt;=B7, ""#7b1fa2"", ""#ba68c8"")}), """")"),"")</f>
        <v/>
      </c>
    </row>
    <row r="8" ht="15.75" customHeight="1">
      <c r="A8" s="9">
        <v>46082.0</v>
      </c>
      <c r="B8" s="13">
        <v>219.0</v>
      </c>
      <c r="C8" s="10">
        <v>219.0</v>
      </c>
      <c r="D8" s="10">
        <v>219.0</v>
      </c>
      <c r="E8" s="11">
        <f t="shared" si="1"/>
        <v>0</v>
      </c>
      <c r="F8" s="12">
        <f t="shared" si="2"/>
        <v>1</v>
      </c>
      <c r="G8" s="11" t="str">
        <f>IFERROR(__xludf.DUMMYFUNCTION("IFERROR(SPARKLINE(C8, {""charttype"",""bar""; ""max"",B8; ""color1"",IF(C8&gt;=B8, ""#1976d2"", ""#64b5f6"")}), """")"),"")</f>
        <v/>
      </c>
      <c r="H8" s="11" t="str">
        <f>IFERROR(__xludf.DUMMYFUNCTION("IFERROR(SPARKLINE(D8, {""charttype"",""bar""; ""max"",B8; ""color1"",IF(D8&gt;=B8, ""#7b1fa2"", ""#ba68c8"")}), """")"),"")</f>
        <v/>
      </c>
    </row>
    <row r="9" ht="15.75" customHeight="1">
      <c r="A9" s="9">
        <v>46141.0</v>
      </c>
      <c r="B9" s="13">
        <v>170.0</v>
      </c>
      <c r="C9" s="10">
        <v>170.0</v>
      </c>
      <c r="D9" s="10">
        <v>170.0</v>
      </c>
      <c r="E9" s="11">
        <f t="shared" si="1"/>
        <v>0</v>
      </c>
      <c r="F9" s="12">
        <f t="shared" si="2"/>
        <v>1</v>
      </c>
      <c r="G9" s="11" t="str">
        <f>IFERROR(__xludf.DUMMYFUNCTION("IFERROR(SPARKLINE(C9, {""charttype"",""bar""; ""max"",B9; ""color1"",IF(C9&gt;=B9, ""#1976d2"", ""#64b5f6"")}), """")"),"")</f>
        <v/>
      </c>
      <c r="H9" s="11" t="str">
        <f>IFERROR(__xludf.DUMMYFUNCTION("IFERROR(SPARKLINE(D9, {""charttype"",""bar""; ""max"",B9; ""color1"",IF(D9&gt;=B9, ""#7b1fa2"", ""#ba68c8"")}), """")"),"")</f>
        <v/>
      </c>
    </row>
    <row r="10" ht="15.75" customHeight="1">
      <c r="A10" s="9">
        <v>46168.0</v>
      </c>
      <c r="B10" s="13">
        <v>201.0</v>
      </c>
      <c r="C10" s="10">
        <v>201.0</v>
      </c>
      <c r="D10" s="10">
        <v>201.0</v>
      </c>
      <c r="E10" s="11">
        <f t="shared" si="1"/>
        <v>0</v>
      </c>
      <c r="F10" s="12">
        <f t="shared" si="2"/>
        <v>1</v>
      </c>
      <c r="G10" s="11" t="str">
        <f>IFERROR(__xludf.DUMMYFUNCTION("IFERROR(SPARKLINE(C10, {""charttype"",""bar""; ""max"",B10; ""color1"",IF(C10&gt;=B10, ""#1976d2"", ""#64b5f6"")}), """")"),"")</f>
        <v/>
      </c>
      <c r="H10" s="11" t="str">
        <f>IFERROR(__xludf.DUMMYFUNCTION("IFERROR(SPARKLINE(D10, {""charttype"",""bar""; ""max"",B10; ""color1"",IF(D10&gt;=B10, ""#7b1fa2"", ""#ba68c8"")}), """")"),"")</f>
        <v/>
      </c>
    </row>
    <row r="11" ht="15.75" customHeight="1">
      <c r="A11" s="9">
        <v>46174.0</v>
      </c>
      <c r="B11" s="10">
        <v>230.0</v>
      </c>
      <c r="C11" s="10">
        <v>123.0</v>
      </c>
      <c r="D11" s="10">
        <v>109.0</v>
      </c>
      <c r="E11" s="11">
        <f t="shared" si="1"/>
        <v>14</v>
      </c>
      <c r="F11" s="12">
        <f t="shared" si="2"/>
        <v>0.5347826087</v>
      </c>
      <c r="G11" s="11" t="str">
        <f>IFERROR(__xludf.DUMMYFUNCTION("IFERROR(SPARKLINE(C11, {""charttype"",""bar""; ""max"",B11; ""color1"",IF(C11&gt;=B11, ""#1976d2"", ""#64b5f6"")}), """")"),"")</f>
        <v/>
      </c>
      <c r="H11" s="11" t="str">
        <f>IFERROR(__xludf.DUMMYFUNCTION("IFERROR(SPARKLINE(D11, {""charttype"",""bar""; ""max"",B11; ""color1"",IF(D11&gt;=B11, ""#7b1fa2"", ""#ba68c8"")}), """")"),"")</f>
        <v/>
      </c>
    </row>
    <row r="12" ht="15.75" customHeight="1">
      <c r="A12" s="9">
        <v>46204.0</v>
      </c>
      <c r="B12" s="10">
        <v>210.0</v>
      </c>
      <c r="C12" s="10">
        <v>0.0</v>
      </c>
      <c r="D12" s="10">
        <v>0.0</v>
      </c>
      <c r="E12" s="11">
        <f t="shared" si="1"/>
        <v>0</v>
      </c>
      <c r="F12" s="12">
        <f t="shared" si="2"/>
        <v>0</v>
      </c>
      <c r="G12" s="11" t="str">
        <f>IFERROR(__xludf.DUMMYFUNCTION("IFERROR(SPARKLINE(C12, {""charttype"",""bar""; ""max"",B12; ""color1"",IF(C12&gt;=B12, ""#1976d2"", ""#64b5f6"")}), """")"),"")</f>
        <v/>
      </c>
      <c r="H12" s="11" t="str">
        <f>IFERROR(__xludf.DUMMYFUNCTION("IFERROR(SPARKLINE(D12, {""charttype"",""bar""; ""max"",B12; ""color1"",IF(D12&gt;=B12, ""#7b1fa2"", ""#ba68c8"")}), """")"),"")</f>
        <v/>
      </c>
    </row>
    <row r="13" ht="15.75" customHeight="1">
      <c r="A13" s="9">
        <v>46260.0</v>
      </c>
      <c r="B13" s="10">
        <v>210.0</v>
      </c>
      <c r="C13" s="10">
        <v>0.0</v>
      </c>
      <c r="D13" s="10">
        <v>0.0</v>
      </c>
      <c r="E13" s="11">
        <f t="shared" si="1"/>
        <v>0</v>
      </c>
      <c r="F13" s="12">
        <f t="shared" si="2"/>
        <v>0</v>
      </c>
      <c r="G13" s="11" t="str">
        <f>IFERROR(__xludf.DUMMYFUNCTION("IFERROR(SPARKLINE(C13, {""charttype"",""bar""; ""max"",B13; ""color1"",IF(C13&gt;=B13, ""#1976d2"", ""#64b5f6"")}), """")"),"")</f>
        <v/>
      </c>
      <c r="H13" s="11" t="str">
        <f>IFERROR(__xludf.DUMMYFUNCTION("IFERROR(SPARKLINE(D13, {""charttype"",""bar""; ""max"",B13; ""color1"",IF(D13&gt;=B13, ""#7b1fa2"", ""#ba68c8"")}), """")"),"")</f>
        <v/>
      </c>
    </row>
    <row r="14" ht="15.75" customHeight="1">
      <c r="A14" s="9">
        <v>46291.0</v>
      </c>
      <c r="B14" s="10">
        <v>210.0</v>
      </c>
      <c r="C14" s="10">
        <v>0.0</v>
      </c>
      <c r="D14" s="10">
        <v>0.0</v>
      </c>
      <c r="E14" s="11">
        <f t="shared" si="1"/>
        <v>0</v>
      </c>
      <c r="F14" s="12">
        <f t="shared" si="2"/>
        <v>0</v>
      </c>
      <c r="G14" s="11" t="str">
        <f>IFERROR(__xludf.DUMMYFUNCTION("IFERROR(SPARKLINE(C14, {""charttype"",""bar""; ""max"",B14; ""color1"",IF(C14&gt;=B14, ""#1976d2"", ""#64b5f6"")}), """")"),"")</f>
        <v/>
      </c>
      <c r="H14" s="11" t="str">
        <f>IFERROR(__xludf.DUMMYFUNCTION("IFERROR(SPARKLINE(D14, {""charttype"",""bar""; ""max"",B14; ""color1"",IF(D14&gt;=B14, ""#7b1fa2"", ""#ba68c8"")}), """")"),"")</f>
        <v/>
      </c>
    </row>
    <row r="15" ht="15.75" customHeight="1">
      <c r="A15" s="9">
        <v>46321.0</v>
      </c>
      <c r="B15" s="10">
        <v>210.0</v>
      </c>
      <c r="C15" s="10">
        <v>0.0</v>
      </c>
      <c r="D15" s="10">
        <v>0.0</v>
      </c>
      <c r="E15" s="11">
        <f t="shared" si="1"/>
        <v>0</v>
      </c>
      <c r="F15" s="12">
        <f t="shared" si="2"/>
        <v>0</v>
      </c>
      <c r="G15" s="11" t="str">
        <f>IFERROR(__xludf.DUMMYFUNCTION("IFERROR(SPARKLINE(C15, {""charttype"",""bar""; ""max"",B15; ""color1"",IF(C15&gt;=B15, ""#1976d2"", ""#64b5f6"")}), """")"),"")</f>
        <v/>
      </c>
      <c r="H15" s="11" t="str">
        <f>IFERROR(__xludf.DUMMYFUNCTION("IFERROR(SPARKLINE(D15, {""charttype"",""bar""; ""max"",B15; ""color1"",IF(D15&gt;=B15, ""#7b1fa2"", ""#ba68c8"")}), """")"),"")</f>
        <v/>
      </c>
    </row>
    <row r="16" ht="15.75" customHeight="1">
      <c r="A16" s="9">
        <v>46327.0</v>
      </c>
      <c r="B16" s="10">
        <v>210.0</v>
      </c>
      <c r="C16" s="10">
        <v>0.0</v>
      </c>
      <c r="D16" s="10">
        <v>0.0</v>
      </c>
      <c r="E16" s="11">
        <f t="shared" si="1"/>
        <v>0</v>
      </c>
      <c r="F16" s="12">
        <f t="shared" si="2"/>
        <v>0</v>
      </c>
      <c r="G16" s="11" t="str">
        <f>IFERROR(__xludf.DUMMYFUNCTION("IFERROR(SPARKLINE(C16, {""charttype"",""bar""; ""max"",B16; ""color1"",IF(C16&gt;=B16, ""#1976d2"", ""#64b5f6"")}), """")"),"")</f>
        <v/>
      </c>
      <c r="H16" s="11" t="str">
        <f>IFERROR(__xludf.DUMMYFUNCTION("IFERROR(SPARKLINE(D16, {""charttype"",""bar""; ""max"",B16; ""color1"",IF(D16&gt;=B16, ""#7b1fa2"", ""#ba68c8"")}), """")"),"")</f>
        <v/>
      </c>
    </row>
    <row r="17" ht="15.75" customHeight="1">
      <c r="A17" s="9">
        <v>46382.0</v>
      </c>
      <c r="B17" s="10">
        <v>150.0</v>
      </c>
      <c r="C17" s="10">
        <v>0.0</v>
      </c>
      <c r="D17" s="10">
        <v>0.0</v>
      </c>
      <c r="E17" s="11">
        <f t="shared" si="1"/>
        <v>0</v>
      </c>
      <c r="F17" s="12">
        <f t="shared" si="2"/>
        <v>0</v>
      </c>
      <c r="G17" s="11" t="str">
        <f>IFERROR(__xludf.DUMMYFUNCTION("IFERROR(SPARKLINE(C17, {""charttype"",""bar""; ""max"",B17; ""color1"",IF(C17&gt;=B17, ""#1976d2"", ""#64b5f6"")}), """")"),"")</f>
        <v/>
      </c>
      <c r="H17" s="11" t="str">
        <f>IFERROR(__xludf.DUMMYFUNCTION("IFERROR(SPARKLINE(D17, {""charttype"",""bar""; ""max"",B17; ""color1"",IF(D17&gt;=B17, ""#7b1fa2"", ""#ba68c8"")}), """")"),"")</f>
        <v/>
      </c>
    </row>
    <row r="18" ht="15.75" customHeight="1">
      <c r="A18" s="14"/>
      <c r="B18" s="14"/>
      <c r="C18" s="14"/>
      <c r="D18" s="14"/>
      <c r="E18" s="14"/>
      <c r="F18" s="14"/>
      <c r="G18" s="14"/>
      <c r="H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10">
    <mergeCell ref="C4:D4"/>
    <mergeCell ref="E4:F4"/>
    <mergeCell ref="A1:H1"/>
    <mergeCell ref="A2:H2"/>
    <mergeCell ref="A3:B3"/>
    <mergeCell ref="C3:D3"/>
    <mergeCell ref="E3:F3"/>
    <mergeCell ref="G3:H3"/>
    <mergeCell ref="A4:B4"/>
    <mergeCell ref="G4:H4"/>
  </mergeCells>
  <conditionalFormatting sqref="E6">
    <cfRule type="cellIs" dxfId="0" priority="1" stopIfTrue="1" operator="equal">
      <formula>0</formula>
    </cfRule>
  </conditionalFormatting>
  <conditionalFormatting sqref="E6">
    <cfRule type="cellIs" dxfId="1" priority="2" stopIfTrue="1" operator="greaterThan">
      <formula>0</formula>
    </cfRule>
  </conditionalFormatting>
  <conditionalFormatting sqref="E7">
    <cfRule type="cellIs" dxfId="0" priority="3" stopIfTrue="1" operator="equal">
      <formula>0</formula>
    </cfRule>
  </conditionalFormatting>
  <conditionalFormatting sqref="E7">
    <cfRule type="cellIs" dxfId="1" priority="4" stopIfTrue="1" operator="greaterThan">
      <formula>0</formula>
    </cfRule>
  </conditionalFormatting>
  <conditionalFormatting sqref="E8">
    <cfRule type="cellIs" dxfId="0" priority="5" stopIfTrue="1" operator="equal">
      <formula>0</formula>
    </cfRule>
  </conditionalFormatting>
  <conditionalFormatting sqref="E8">
    <cfRule type="cellIs" dxfId="1" priority="6" stopIfTrue="1" operator="greaterThan">
      <formula>0</formula>
    </cfRule>
  </conditionalFormatting>
  <conditionalFormatting sqref="E9">
    <cfRule type="cellIs" dxfId="0" priority="7" stopIfTrue="1" operator="equal">
      <formula>0</formula>
    </cfRule>
  </conditionalFormatting>
  <conditionalFormatting sqref="E9">
    <cfRule type="cellIs" dxfId="1" priority="8" stopIfTrue="1" operator="greaterThan">
      <formula>0</formula>
    </cfRule>
  </conditionalFormatting>
  <conditionalFormatting sqref="E10">
    <cfRule type="cellIs" dxfId="0" priority="9" stopIfTrue="1" operator="equal">
      <formula>0</formula>
    </cfRule>
  </conditionalFormatting>
  <conditionalFormatting sqref="E10">
    <cfRule type="cellIs" dxfId="1" priority="10" stopIfTrue="1" operator="greaterThan">
      <formula>0</formula>
    </cfRule>
  </conditionalFormatting>
  <conditionalFormatting sqref="E11">
    <cfRule type="cellIs" dxfId="0" priority="11" stopIfTrue="1" operator="equal">
      <formula>0</formula>
    </cfRule>
  </conditionalFormatting>
  <conditionalFormatting sqref="E11">
    <cfRule type="cellIs" dxfId="1" priority="12" stopIfTrue="1" operator="greaterThan">
      <formula>0</formula>
    </cfRule>
  </conditionalFormatting>
  <conditionalFormatting sqref="E12">
    <cfRule type="cellIs" dxfId="0" priority="13" stopIfTrue="1" operator="equal">
      <formula>0</formula>
    </cfRule>
  </conditionalFormatting>
  <conditionalFormatting sqref="E12">
    <cfRule type="cellIs" dxfId="1" priority="14" stopIfTrue="1" operator="greaterThan">
      <formula>0</formula>
    </cfRule>
  </conditionalFormatting>
  <conditionalFormatting sqref="E13">
    <cfRule type="cellIs" dxfId="0" priority="15" stopIfTrue="1" operator="equal">
      <formula>0</formula>
    </cfRule>
  </conditionalFormatting>
  <conditionalFormatting sqref="E13">
    <cfRule type="cellIs" dxfId="1" priority="16" stopIfTrue="1" operator="greaterThan">
      <formula>0</formula>
    </cfRule>
  </conditionalFormatting>
  <conditionalFormatting sqref="E14">
    <cfRule type="cellIs" dxfId="0" priority="17" stopIfTrue="1" operator="equal">
      <formula>0</formula>
    </cfRule>
  </conditionalFormatting>
  <conditionalFormatting sqref="E14">
    <cfRule type="cellIs" dxfId="1" priority="18" stopIfTrue="1" operator="greaterThan">
      <formula>0</formula>
    </cfRule>
  </conditionalFormatting>
  <conditionalFormatting sqref="E15">
    <cfRule type="cellIs" dxfId="0" priority="19" stopIfTrue="1" operator="equal">
      <formula>0</formula>
    </cfRule>
  </conditionalFormatting>
  <conditionalFormatting sqref="E15">
    <cfRule type="cellIs" dxfId="1" priority="20" stopIfTrue="1" operator="greaterThan">
      <formula>0</formula>
    </cfRule>
  </conditionalFormatting>
  <conditionalFormatting sqref="E16">
    <cfRule type="cellIs" dxfId="0" priority="21" stopIfTrue="1" operator="equal">
      <formula>0</formula>
    </cfRule>
  </conditionalFormatting>
  <conditionalFormatting sqref="E16">
    <cfRule type="cellIs" dxfId="1" priority="22" stopIfTrue="1" operator="greaterThan">
      <formula>0</formula>
    </cfRule>
  </conditionalFormatting>
  <conditionalFormatting sqref="E17">
    <cfRule type="cellIs" dxfId="0" priority="23" stopIfTrue="1" operator="equal">
      <formula>0</formula>
    </cfRule>
  </conditionalFormatting>
  <conditionalFormatting sqref="E17">
    <cfRule type="cellIs" dxfId="1" priority="24" stopIfTrue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5"/>
    <col customWidth="1" min="2" max="2" width="38.5"/>
    <col customWidth="1" min="3" max="3" width="9.5"/>
    <col customWidth="1" min="4" max="4" width="9.25"/>
    <col customWidth="1" min="5" max="5" width="14.75"/>
    <col customWidth="1" min="6" max="6" width="15.13"/>
    <col customWidth="1" min="7" max="7" width="70.13"/>
    <col customWidth="1" min="8" max="8" width="36.75"/>
  </cols>
  <sheetData>
    <row r="1" ht="15.75" customHeight="1">
      <c r="A1" s="16" t="str">
        <f>"JUNHO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JUNHO DE 2026   •   RED [ █████░░░░░ 53% ]   •   EDIT [ █████░░░░░ 47% ]</v>
      </c>
      <c r="H1" s="17" t="s">
        <v>13</v>
      </c>
      <c r="I1" s="18" t="s">
        <v>14</v>
      </c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</row>
    <row r="3" ht="15.75" customHeight="1">
      <c r="A3" s="20">
        <v>11.0</v>
      </c>
      <c r="B3" s="21">
        <v>230.0</v>
      </c>
      <c r="C3" s="22">
        <f>COUNTA(B6:B1000)</f>
        <v>123</v>
      </c>
      <c r="D3" s="23">
        <f>COUNTIF(E6:E1000, "*✔*")</f>
        <v>109</v>
      </c>
      <c r="E3" s="24">
        <f>C3-D3</f>
        <v>14</v>
      </c>
      <c r="F3" s="25">
        <f>MAX(0, B3-C3)</f>
        <v>107</v>
      </c>
      <c r="G3" s="26">
        <f>940 + C3</f>
        <v>1063</v>
      </c>
      <c r="H3" s="27"/>
    </row>
    <row r="4" ht="15.75" customHeight="1">
      <c r="A4" s="14"/>
      <c r="B4" s="14"/>
      <c r="C4" s="14"/>
      <c r="D4" s="14"/>
      <c r="E4" s="14"/>
      <c r="F4" s="14"/>
      <c r="G4" s="14"/>
      <c r="H4" s="14"/>
    </row>
    <row r="5" ht="15.75" customHeight="1">
      <c r="A5" s="28" t="s">
        <v>22</v>
      </c>
      <c r="B5" s="28" t="s">
        <v>23</v>
      </c>
      <c r="C5" s="28" t="s">
        <v>24</v>
      </c>
      <c r="D5" s="28" t="s">
        <v>25</v>
      </c>
      <c r="E5" s="28" t="s">
        <v>26</v>
      </c>
      <c r="F5" s="28" t="s">
        <v>27</v>
      </c>
      <c r="G5" s="28" t="s">
        <v>28</v>
      </c>
      <c r="H5" s="28" t="s">
        <v>29</v>
      </c>
      <c r="I5" s="28" t="s">
        <v>30</v>
      </c>
    </row>
    <row r="6" ht="15.75" customHeight="1">
      <c r="A6" s="29" t="str">
        <f t="shared" ref="A6:A10" si="1">HYPERLINK("https://drive.google.com/drive/folders/1I8IXxyShimZKe_2J1UzyrLeHuwzYahY0", "06 - JUN - 26 / 18/06 - QUI")</f>
        <v>06 - JUN - 26 / 18/06 - QUI</v>
      </c>
      <c r="B6" s="30" t="s">
        <v>31</v>
      </c>
      <c r="C6" s="30" t="s">
        <v>32</v>
      </c>
      <c r="D6" s="31"/>
      <c r="E6" s="31"/>
      <c r="F6" s="32"/>
      <c r="G6" s="33" t="s">
        <v>33</v>
      </c>
      <c r="H6" s="34" t="s">
        <v>31</v>
      </c>
      <c r="I6" s="35" t="s">
        <v>34</v>
      </c>
    </row>
    <row r="7" ht="15.75" customHeight="1">
      <c r="A7" s="29" t="str">
        <f t="shared" si="1"/>
        <v>06 - JUN - 26 / 18/06 - QUI</v>
      </c>
      <c r="B7" s="30" t="s">
        <v>35</v>
      </c>
      <c r="C7" s="30" t="s">
        <v>32</v>
      </c>
      <c r="D7" s="31"/>
      <c r="E7" s="31"/>
      <c r="F7" s="32"/>
      <c r="G7" s="33" t="s">
        <v>36</v>
      </c>
      <c r="H7" s="34" t="s">
        <v>35</v>
      </c>
      <c r="I7" s="35" t="s">
        <v>34</v>
      </c>
    </row>
    <row r="8" ht="15.75" customHeight="1">
      <c r="A8" s="29" t="str">
        <f t="shared" si="1"/>
        <v>06 - JUN - 26 / 18/06 - QUI</v>
      </c>
      <c r="B8" s="30" t="s">
        <v>37</v>
      </c>
      <c r="C8" s="30" t="s">
        <v>32</v>
      </c>
      <c r="D8" s="31"/>
      <c r="E8" s="31"/>
      <c r="F8" s="32"/>
      <c r="G8" s="33" t="s">
        <v>38</v>
      </c>
      <c r="H8" s="36" t="s">
        <v>39</v>
      </c>
      <c r="I8" s="35" t="s">
        <v>34</v>
      </c>
    </row>
    <row r="9" ht="15.75" customHeight="1">
      <c r="A9" s="29" t="str">
        <f t="shared" si="1"/>
        <v>06 - JUN - 26 / 18/06 - QUI</v>
      </c>
      <c r="B9" s="30" t="s">
        <v>40</v>
      </c>
      <c r="C9" s="30" t="s">
        <v>32</v>
      </c>
      <c r="D9" s="31"/>
      <c r="E9" s="31"/>
      <c r="F9" s="32"/>
      <c r="G9" s="33" t="s">
        <v>41</v>
      </c>
      <c r="H9" s="36" t="s">
        <v>42</v>
      </c>
      <c r="I9" s="35" t="s">
        <v>34</v>
      </c>
    </row>
    <row r="10" ht="15.75" customHeight="1">
      <c r="A10" s="29" t="str">
        <f t="shared" si="1"/>
        <v>06 - JUN - 26 / 18/06 - QUI</v>
      </c>
      <c r="B10" s="30" t="s">
        <v>43</v>
      </c>
      <c r="C10" s="30" t="s">
        <v>32</v>
      </c>
      <c r="D10" s="31"/>
      <c r="E10" s="31"/>
      <c r="F10" s="32"/>
      <c r="G10" s="33" t="s">
        <v>44</v>
      </c>
      <c r="H10" s="36" t="s">
        <v>45</v>
      </c>
      <c r="I10" s="35" t="s">
        <v>34</v>
      </c>
    </row>
    <row r="11" ht="15.75" customHeight="1">
      <c r="A11" s="37" t="str">
        <f t="shared" ref="A11:A21" si="2">HYPERLINK("https://drive.google.com/drive/folders/1yK5OR8GedS48FdzCqDM4-8rjzWlMaAj4", "06 - JUN - 26 / 17/06 - QUA")</f>
        <v>06 - JUN - 26 / 17/06 - QUA</v>
      </c>
      <c r="B11" s="38" t="s">
        <v>46</v>
      </c>
      <c r="C11" s="38" t="s">
        <v>32</v>
      </c>
      <c r="D11" s="39"/>
      <c r="E11" s="39"/>
      <c r="F11" s="40"/>
      <c r="G11" s="41" t="s">
        <v>47</v>
      </c>
      <c r="H11" s="42" t="s">
        <v>48</v>
      </c>
      <c r="I11" s="43" t="s">
        <v>49</v>
      </c>
    </row>
    <row r="12" ht="15.75" customHeight="1">
      <c r="A12" s="29" t="str">
        <f t="shared" si="2"/>
        <v>06 - JUN - 26 / 17/06 - QUA</v>
      </c>
      <c r="B12" s="30" t="s">
        <v>50</v>
      </c>
      <c r="C12" s="30" t="s">
        <v>32</v>
      </c>
      <c r="D12" s="31"/>
      <c r="E12" s="31"/>
      <c r="F12" s="32"/>
      <c r="G12" s="33" t="s">
        <v>51</v>
      </c>
      <c r="H12" s="36" t="s">
        <v>52</v>
      </c>
      <c r="I12" s="35" t="s">
        <v>49</v>
      </c>
    </row>
    <row r="13" ht="15.75" customHeight="1">
      <c r="A13" s="29" t="str">
        <f t="shared" si="2"/>
        <v>06 - JUN - 26 / 17/06 - QUA</v>
      </c>
      <c r="B13" s="30" t="s">
        <v>53</v>
      </c>
      <c r="C13" s="30" t="s">
        <v>32</v>
      </c>
      <c r="D13" s="31"/>
      <c r="E13" s="31"/>
      <c r="F13" s="32"/>
      <c r="G13" s="33" t="s">
        <v>54</v>
      </c>
      <c r="H13" s="36" t="s">
        <v>55</v>
      </c>
      <c r="I13" s="35" t="s">
        <v>49</v>
      </c>
    </row>
    <row r="14" ht="15.75" customHeight="1">
      <c r="A14" s="29" t="str">
        <f t="shared" si="2"/>
        <v>06 - JUN - 26 / 17/06 - QUA</v>
      </c>
      <c r="B14" s="30" t="s">
        <v>56</v>
      </c>
      <c r="C14" s="30" t="s">
        <v>32</v>
      </c>
      <c r="D14" s="31"/>
      <c r="E14" s="31"/>
      <c r="F14" s="32"/>
      <c r="G14" s="33" t="s">
        <v>57</v>
      </c>
      <c r="H14" s="36" t="s">
        <v>58</v>
      </c>
      <c r="I14" s="35" t="s">
        <v>49</v>
      </c>
    </row>
    <row r="15" ht="15.75" customHeight="1">
      <c r="A15" s="29" t="str">
        <f t="shared" si="2"/>
        <v>06 - JUN - 26 / 17/06 - QUA</v>
      </c>
      <c r="B15" s="30" t="s">
        <v>59</v>
      </c>
      <c r="C15" s="30" t="s">
        <v>32</v>
      </c>
      <c r="D15" s="31"/>
      <c r="E15" s="31"/>
      <c r="F15" s="32"/>
      <c r="G15" s="33" t="s">
        <v>60</v>
      </c>
      <c r="H15" s="36" t="s">
        <v>61</v>
      </c>
      <c r="I15" s="35" t="s">
        <v>49</v>
      </c>
    </row>
    <row r="16" ht="15.75" customHeight="1">
      <c r="A16" s="29" t="str">
        <f t="shared" si="2"/>
        <v>06 - JUN - 26 / 17/06 - QUA</v>
      </c>
      <c r="B16" s="30" t="s">
        <v>62</v>
      </c>
      <c r="C16" s="30" t="s">
        <v>32</v>
      </c>
      <c r="D16" s="31"/>
      <c r="E16" s="31"/>
      <c r="F16" s="32"/>
      <c r="G16" s="33" t="s">
        <v>63</v>
      </c>
      <c r="H16" s="36" t="s">
        <v>64</v>
      </c>
      <c r="I16" s="35" t="s">
        <v>49</v>
      </c>
    </row>
    <row r="17" ht="15.75" customHeight="1">
      <c r="A17" s="29" t="str">
        <f t="shared" si="2"/>
        <v>06 - JUN - 26 / 17/06 - QUA</v>
      </c>
      <c r="B17" s="30" t="s">
        <v>65</v>
      </c>
      <c r="C17" s="30" t="s">
        <v>32</v>
      </c>
      <c r="D17" s="35" t="s">
        <v>66</v>
      </c>
      <c r="E17" s="35" t="s">
        <v>66</v>
      </c>
      <c r="F17" s="32"/>
      <c r="G17" s="33" t="s">
        <v>67</v>
      </c>
      <c r="H17" s="36" t="s">
        <v>68</v>
      </c>
      <c r="I17" s="35" t="s">
        <v>69</v>
      </c>
    </row>
    <row r="18" ht="15.75" customHeight="1">
      <c r="A18" s="29" t="str">
        <f t="shared" si="2"/>
        <v>06 - JUN - 26 / 17/06 - QUA</v>
      </c>
      <c r="B18" s="30" t="s">
        <v>70</v>
      </c>
      <c r="C18" s="30" t="s">
        <v>32</v>
      </c>
      <c r="D18" s="35" t="s">
        <v>66</v>
      </c>
      <c r="E18" s="35" t="s">
        <v>66</v>
      </c>
      <c r="F18" s="32"/>
      <c r="G18" s="33" t="s">
        <v>71</v>
      </c>
      <c r="H18" s="36" t="s">
        <v>72</v>
      </c>
      <c r="I18" s="35" t="s">
        <v>69</v>
      </c>
    </row>
    <row r="19" ht="15.75" customHeight="1">
      <c r="A19" s="29" t="str">
        <f t="shared" si="2"/>
        <v>06 - JUN - 26 / 17/06 - QUA</v>
      </c>
      <c r="B19" s="30" t="s">
        <v>73</v>
      </c>
      <c r="C19" s="30" t="s">
        <v>32</v>
      </c>
      <c r="D19" s="35" t="s">
        <v>66</v>
      </c>
      <c r="E19" s="35" t="s">
        <v>66</v>
      </c>
      <c r="F19" s="32"/>
      <c r="G19" s="33" t="s">
        <v>74</v>
      </c>
      <c r="H19" s="36" t="s">
        <v>75</v>
      </c>
      <c r="I19" s="44">
        <v>46332.0</v>
      </c>
    </row>
    <row r="20" ht="15.75" customHeight="1">
      <c r="A20" s="29" t="str">
        <f t="shared" si="2"/>
        <v>06 - JUN - 26 / 17/06 - QUA</v>
      </c>
      <c r="B20" s="30" t="s">
        <v>76</v>
      </c>
      <c r="C20" s="30" t="s">
        <v>32</v>
      </c>
      <c r="D20" s="35" t="s">
        <v>66</v>
      </c>
      <c r="E20" s="35" t="s">
        <v>66</v>
      </c>
      <c r="F20" s="32"/>
      <c r="G20" s="33" t="s">
        <v>77</v>
      </c>
      <c r="H20" s="36" t="s">
        <v>78</v>
      </c>
      <c r="I20" s="44">
        <v>46332.0</v>
      </c>
    </row>
    <row r="21" ht="15.75" customHeight="1">
      <c r="A21" s="29" t="str">
        <f t="shared" si="2"/>
        <v>06 - JUN - 26 / 17/06 - QUA</v>
      </c>
      <c r="B21" s="30" t="s">
        <v>79</v>
      </c>
      <c r="C21" s="30" t="s">
        <v>32</v>
      </c>
      <c r="D21" s="35" t="s">
        <v>66</v>
      </c>
      <c r="E21" s="35" t="s">
        <v>66</v>
      </c>
      <c r="F21" s="32"/>
      <c r="G21" s="33" t="s">
        <v>80</v>
      </c>
      <c r="H21" s="36" t="s">
        <v>81</v>
      </c>
      <c r="I21" s="44">
        <v>46332.0</v>
      </c>
    </row>
    <row r="22" ht="15.75" customHeight="1">
      <c r="A22" s="37" t="str">
        <f t="shared" ref="A22:A32" si="3">HYPERLINK("https://drive.google.com/drive/folders/1NhRA1DH43Bvk9NPmjEGxYOqtgKjsJ_ZD", "06 - JUN - 26 / 16/06 - TER")</f>
        <v>06 - JUN - 26 / 16/06 - TER</v>
      </c>
      <c r="B22" s="38" t="s">
        <v>82</v>
      </c>
      <c r="C22" s="38" t="s">
        <v>32</v>
      </c>
      <c r="D22" s="39"/>
      <c r="E22" s="39"/>
      <c r="F22" s="40"/>
      <c r="G22" s="41" t="s">
        <v>83</v>
      </c>
      <c r="H22" s="42" t="s">
        <v>84</v>
      </c>
      <c r="I22" s="43" t="s">
        <v>49</v>
      </c>
    </row>
    <row r="23" ht="15.75" customHeight="1">
      <c r="A23" s="29" t="str">
        <f t="shared" si="3"/>
        <v>06 - JUN - 26 / 16/06 - TER</v>
      </c>
      <c r="B23" s="30" t="s">
        <v>85</v>
      </c>
      <c r="C23" s="30" t="s">
        <v>86</v>
      </c>
      <c r="D23" s="31"/>
      <c r="E23" s="31"/>
      <c r="F23" s="32"/>
      <c r="G23" s="33" t="s">
        <v>87</v>
      </c>
      <c r="H23" s="36" t="s">
        <v>88</v>
      </c>
      <c r="I23" s="35" t="s">
        <v>69</v>
      </c>
    </row>
    <row r="24" ht="15.75" customHeight="1">
      <c r="A24" s="29" t="str">
        <f t="shared" si="3"/>
        <v>06 - JUN - 26 / 16/06 - TER</v>
      </c>
      <c r="B24" s="30" t="s">
        <v>89</v>
      </c>
      <c r="C24" s="30" t="s">
        <v>86</v>
      </c>
      <c r="D24" s="35" t="s">
        <v>66</v>
      </c>
      <c r="E24" s="35" t="s">
        <v>66</v>
      </c>
      <c r="F24" s="31"/>
      <c r="G24" s="33" t="s">
        <v>90</v>
      </c>
      <c r="H24" s="36" t="s">
        <v>91</v>
      </c>
      <c r="I24" s="35" t="s">
        <v>69</v>
      </c>
    </row>
    <row r="25" ht="15.75" customHeight="1">
      <c r="A25" s="29" t="str">
        <f t="shared" si="3"/>
        <v>06 - JUN - 26 / 16/06 - TER</v>
      </c>
      <c r="B25" s="30" t="s">
        <v>92</v>
      </c>
      <c r="C25" s="30" t="s">
        <v>32</v>
      </c>
      <c r="D25" s="35" t="s">
        <v>66</v>
      </c>
      <c r="E25" s="35" t="s">
        <v>66</v>
      </c>
      <c r="F25" s="31"/>
      <c r="G25" s="33" t="s">
        <v>93</v>
      </c>
      <c r="H25" s="36" t="s">
        <v>94</v>
      </c>
      <c r="I25" s="35" t="s">
        <v>69</v>
      </c>
    </row>
    <row r="26" ht="15.75" customHeight="1">
      <c r="A26" s="29" t="str">
        <f t="shared" si="3"/>
        <v>06 - JUN - 26 / 16/06 - TER</v>
      </c>
      <c r="B26" s="30" t="s">
        <v>95</v>
      </c>
      <c r="C26" s="30" t="s">
        <v>32</v>
      </c>
      <c r="D26" s="35" t="s">
        <v>66</v>
      </c>
      <c r="E26" s="35" t="s">
        <v>66</v>
      </c>
      <c r="F26" s="31"/>
      <c r="G26" s="33" t="s">
        <v>96</v>
      </c>
      <c r="H26" s="36" t="s">
        <v>97</v>
      </c>
      <c r="I26" s="35" t="s">
        <v>69</v>
      </c>
    </row>
    <row r="27" ht="15.75" customHeight="1">
      <c r="A27" s="29" t="str">
        <f t="shared" si="3"/>
        <v>06 - JUN - 26 / 16/06 - TER</v>
      </c>
      <c r="B27" s="30" t="s">
        <v>98</v>
      </c>
      <c r="C27" s="30" t="s">
        <v>32</v>
      </c>
      <c r="D27" s="31"/>
      <c r="E27" s="31"/>
      <c r="F27" s="31"/>
      <c r="G27" s="33" t="s">
        <v>99</v>
      </c>
      <c r="H27" s="36" t="s">
        <v>100</v>
      </c>
      <c r="I27" s="35" t="s">
        <v>69</v>
      </c>
    </row>
    <row r="28" ht="15.75" customHeight="1">
      <c r="A28" s="29" t="str">
        <f t="shared" si="3"/>
        <v>06 - JUN - 26 / 16/06 - TER</v>
      </c>
      <c r="B28" s="30" t="s">
        <v>101</v>
      </c>
      <c r="C28" s="30" t="s">
        <v>32</v>
      </c>
      <c r="D28" s="35" t="s">
        <v>66</v>
      </c>
      <c r="E28" s="35" t="s">
        <v>66</v>
      </c>
      <c r="F28" s="32"/>
      <c r="G28" s="33" t="s">
        <v>102</v>
      </c>
      <c r="H28" s="36" t="s">
        <v>103</v>
      </c>
      <c r="I28" s="35" t="s">
        <v>69</v>
      </c>
    </row>
    <row r="29" ht="15.75" customHeight="1">
      <c r="A29" s="29" t="str">
        <f t="shared" si="3"/>
        <v>06 - JUN - 26 / 16/06 - TER</v>
      </c>
      <c r="B29" s="30" t="s">
        <v>104</v>
      </c>
      <c r="C29" s="30" t="s">
        <v>32</v>
      </c>
      <c r="D29" s="35" t="s">
        <v>66</v>
      </c>
      <c r="E29" s="35" t="s">
        <v>66</v>
      </c>
      <c r="F29" s="35">
        <v>1895.0</v>
      </c>
      <c r="G29" s="33" t="s">
        <v>105</v>
      </c>
      <c r="H29" s="36" t="s">
        <v>106</v>
      </c>
      <c r="I29" s="35" t="s">
        <v>69</v>
      </c>
    </row>
    <row r="30" ht="15.75" customHeight="1">
      <c r="A30" s="29" t="str">
        <f t="shared" si="3"/>
        <v>06 - JUN - 26 / 16/06 - TER</v>
      </c>
      <c r="B30" s="30" t="s">
        <v>107</v>
      </c>
      <c r="C30" s="30" t="s">
        <v>32</v>
      </c>
      <c r="D30" s="35" t="s">
        <v>66</v>
      </c>
      <c r="E30" s="35" t="s">
        <v>66</v>
      </c>
      <c r="F30" s="35">
        <v>1895.0</v>
      </c>
      <c r="G30" s="33" t="s">
        <v>108</v>
      </c>
      <c r="H30" s="36" t="s">
        <v>109</v>
      </c>
      <c r="I30" s="45">
        <v>46332.0</v>
      </c>
    </row>
    <row r="31" ht="15.75" customHeight="1">
      <c r="A31" s="29" t="str">
        <f t="shared" si="3"/>
        <v>06 - JUN - 26 / 16/06 - TER</v>
      </c>
      <c r="B31" s="30" t="s">
        <v>110</v>
      </c>
      <c r="C31" s="30" t="s">
        <v>32</v>
      </c>
      <c r="D31" s="35" t="s">
        <v>66</v>
      </c>
      <c r="E31" s="35" t="s">
        <v>66</v>
      </c>
      <c r="F31" s="46">
        <v>1895.0</v>
      </c>
      <c r="G31" s="33" t="s">
        <v>111</v>
      </c>
      <c r="H31" s="36" t="s">
        <v>112</v>
      </c>
      <c r="I31" s="45">
        <v>46332.0</v>
      </c>
    </row>
    <row r="32" ht="15.75" customHeight="1">
      <c r="A32" s="29" t="str">
        <f t="shared" si="3"/>
        <v>06 - JUN - 26 / 16/06 - TER</v>
      </c>
      <c r="B32" s="30" t="s">
        <v>113</v>
      </c>
      <c r="C32" s="30" t="s">
        <v>32</v>
      </c>
      <c r="D32" s="35" t="s">
        <v>66</v>
      </c>
      <c r="E32" s="35" t="s">
        <v>66</v>
      </c>
      <c r="F32" s="46">
        <v>1895.0</v>
      </c>
      <c r="G32" s="33" t="s">
        <v>114</v>
      </c>
      <c r="H32" s="36" t="s">
        <v>115</v>
      </c>
      <c r="I32" s="45">
        <v>46332.0</v>
      </c>
    </row>
    <row r="33" ht="15.75" customHeight="1">
      <c r="A33" s="37" t="str">
        <f t="shared" ref="A33:A43" si="4">HYPERLINK("https://drive.google.com/drive/folders/1IwcSYndpHoZpt0ig_ZOKL52_HNHeblsW", "06 - JUN - 26 / 15/06 - SEG")</f>
        <v>06 - JUN - 26 / 15/06 - SEG</v>
      </c>
      <c r="B33" s="38" t="s">
        <v>116</v>
      </c>
      <c r="C33" s="38" t="s">
        <v>32</v>
      </c>
      <c r="D33" s="43" t="s">
        <v>66</v>
      </c>
      <c r="E33" s="43" t="s">
        <v>66</v>
      </c>
      <c r="F33" s="40"/>
      <c r="G33" s="41" t="s">
        <v>117</v>
      </c>
      <c r="H33" s="42" t="s">
        <v>118</v>
      </c>
      <c r="I33" s="47">
        <v>46332.0</v>
      </c>
    </row>
    <row r="34" ht="15.75" customHeight="1">
      <c r="A34" s="29" t="str">
        <f t="shared" si="4"/>
        <v>06 - JUN - 26 / 15/06 - SEG</v>
      </c>
      <c r="B34" s="30" t="s">
        <v>119</v>
      </c>
      <c r="C34" s="30" t="s">
        <v>32</v>
      </c>
      <c r="D34" s="35" t="s">
        <v>66</v>
      </c>
      <c r="E34" s="35" t="s">
        <v>66</v>
      </c>
      <c r="F34" s="32"/>
      <c r="G34" s="33" t="s">
        <v>120</v>
      </c>
      <c r="H34" s="36" t="s">
        <v>121</v>
      </c>
      <c r="I34" s="45">
        <v>46332.0</v>
      </c>
    </row>
    <row r="35" ht="15.75" customHeight="1">
      <c r="A35" s="29" t="str">
        <f t="shared" si="4"/>
        <v>06 - JUN - 26 / 15/06 - SEG</v>
      </c>
      <c r="B35" s="30" t="s">
        <v>122</v>
      </c>
      <c r="C35" s="30" t="s">
        <v>32</v>
      </c>
      <c r="D35" s="35" t="s">
        <v>66</v>
      </c>
      <c r="E35" s="35" t="s">
        <v>66</v>
      </c>
      <c r="F35" s="32"/>
      <c r="G35" s="33" t="s">
        <v>123</v>
      </c>
      <c r="H35" s="36" t="s">
        <v>124</v>
      </c>
      <c r="I35" s="45">
        <v>46332.0</v>
      </c>
    </row>
    <row r="36" ht="15.75" customHeight="1">
      <c r="A36" s="29" t="str">
        <f t="shared" si="4"/>
        <v>06 - JUN - 26 / 15/06 - SEG</v>
      </c>
      <c r="B36" s="30" t="s">
        <v>125</v>
      </c>
      <c r="C36" s="30" t="s">
        <v>32</v>
      </c>
      <c r="D36" s="35" t="s">
        <v>66</v>
      </c>
      <c r="E36" s="35" t="s">
        <v>66</v>
      </c>
      <c r="F36" s="32"/>
      <c r="G36" s="33" t="s">
        <v>126</v>
      </c>
      <c r="H36" s="36" t="s">
        <v>127</v>
      </c>
      <c r="I36" s="45">
        <v>46332.0</v>
      </c>
    </row>
    <row r="37" ht="15.75" customHeight="1">
      <c r="A37" s="29" t="str">
        <f t="shared" si="4"/>
        <v>06 - JUN - 26 / 15/06 - SEG</v>
      </c>
      <c r="B37" s="30" t="s">
        <v>128</v>
      </c>
      <c r="C37" s="30" t="s">
        <v>32</v>
      </c>
      <c r="D37" s="35" t="s">
        <v>66</v>
      </c>
      <c r="E37" s="35" t="s">
        <v>66</v>
      </c>
      <c r="F37" s="32"/>
      <c r="G37" s="33" t="s">
        <v>129</v>
      </c>
      <c r="H37" s="36" t="s">
        <v>130</v>
      </c>
      <c r="I37" s="45">
        <v>46332.0</v>
      </c>
    </row>
    <row r="38" ht="15.75" customHeight="1">
      <c r="A38" s="29" t="str">
        <f t="shared" si="4"/>
        <v>06 - JUN - 26 / 15/06 - SEG</v>
      </c>
      <c r="B38" s="30" t="s">
        <v>131</v>
      </c>
      <c r="C38" s="30" t="s">
        <v>32</v>
      </c>
      <c r="D38" s="35" t="s">
        <v>66</v>
      </c>
      <c r="E38" s="35" t="s">
        <v>66</v>
      </c>
      <c r="F38" s="31"/>
      <c r="G38" s="33" t="s">
        <v>132</v>
      </c>
      <c r="H38" s="36" t="s">
        <v>133</v>
      </c>
      <c r="I38" s="45">
        <v>46332.0</v>
      </c>
    </row>
    <row r="39" ht="15.75" customHeight="1">
      <c r="A39" s="29" t="str">
        <f t="shared" si="4"/>
        <v>06 - JUN - 26 / 15/06 - SEG</v>
      </c>
      <c r="B39" s="30" t="s">
        <v>134</v>
      </c>
      <c r="C39" s="30" t="s">
        <v>32</v>
      </c>
      <c r="D39" s="35" t="s">
        <v>66</v>
      </c>
      <c r="E39" s="35" t="s">
        <v>66</v>
      </c>
      <c r="F39" s="35">
        <v>1894.0</v>
      </c>
      <c r="G39" s="33" t="s">
        <v>135</v>
      </c>
      <c r="H39" s="36" t="s">
        <v>136</v>
      </c>
      <c r="I39" s="45">
        <v>46332.0</v>
      </c>
    </row>
    <row r="40" ht="15.75" customHeight="1">
      <c r="A40" s="29" t="str">
        <f t="shared" si="4"/>
        <v>06 - JUN - 26 / 15/06 - SEG</v>
      </c>
      <c r="B40" s="30" t="s">
        <v>137</v>
      </c>
      <c r="C40" s="30" t="s">
        <v>32</v>
      </c>
      <c r="D40" s="35" t="s">
        <v>66</v>
      </c>
      <c r="E40" s="35" t="s">
        <v>66</v>
      </c>
      <c r="F40" s="35">
        <v>1894.0</v>
      </c>
      <c r="G40" s="33" t="s">
        <v>138</v>
      </c>
      <c r="H40" s="36" t="s">
        <v>139</v>
      </c>
      <c r="I40" s="45">
        <v>46332.0</v>
      </c>
    </row>
    <row r="41" ht="15.75" customHeight="1">
      <c r="A41" s="29" t="str">
        <f t="shared" si="4"/>
        <v>06 - JUN - 26 / 15/06 - SEG</v>
      </c>
      <c r="B41" s="30" t="s">
        <v>140</v>
      </c>
      <c r="C41" s="30" t="s">
        <v>32</v>
      </c>
      <c r="D41" s="35" t="s">
        <v>66</v>
      </c>
      <c r="E41" s="35" t="s">
        <v>66</v>
      </c>
      <c r="F41" s="31"/>
      <c r="G41" s="33" t="s">
        <v>141</v>
      </c>
      <c r="H41" s="36" t="s">
        <v>142</v>
      </c>
      <c r="I41" s="45">
        <v>46332.0</v>
      </c>
    </row>
    <row r="42" ht="15.75" customHeight="1">
      <c r="A42" s="29" t="str">
        <f t="shared" si="4"/>
        <v>06 - JUN - 26 / 15/06 - SEG</v>
      </c>
      <c r="B42" s="30" t="s">
        <v>143</v>
      </c>
      <c r="C42" s="30" t="s">
        <v>32</v>
      </c>
      <c r="D42" s="35" t="s">
        <v>66</v>
      </c>
      <c r="E42" s="35" t="s">
        <v>66</v>
      </c>
      <c r="F42" s="46">
        <v>1894.0</v>
      </c>
      <c r="G42" s="33" t="s">
        <v>144</v>
      </c>
      <c r="H42" s="36" t="s">
        <v>145</v>
      </c>
      <c r="I42" s="45">
        <v>46332.0</v>
      </c>
    </row>
    <row r="43" ht="15.75" customHeight="1">
      <c r="A43" s="29" t="str">
        <f t="shared" si="4"/>
        <v>06 - JUN - 26 / 15/06 - SEG</v>
      </c>
      <c r="B43" s="30" t="s">
        <v>146</v>
      </c>
      <c r="C43" s="30" t="s">
        <v>32</v>
      </c>
      <c r="D43" s="35" t="s">
        <v>66</v>
      </c>
      <c r="E43" s="35" t="s">
        <v>66</v>
      </c>
      <c r="F43" s="46">
        <v>1894.0</v>
      </c>
      <c r="G43" s="33" t="s">
        <v>147</v>
      </c>
      <c r="H43" s="36" t="s">
        <v>148</v>
      </c>
      <c r="I43" s="45">
        <v>46332.0</v>
      </c>
    </row>
    <row r="44" ht="15.75" customHeight="1">
      <c r="A44" s="37" t="str">
        <f t="shared" ref="A44:A54" si="5">HYPERLINK("https://drive.google.com/drive/folders/10BC5ayu2RBAZv5Uh9rW2NIUjiChsrS3c", "06 - JUN - 26 / 12/06 - SEX")</f>
        <v>06 - JUN - 26 / 12/06 - SEX</v>
      </c>
      <c r="B44" s="38" t="s">
        <v>149</v>
      </c>
      <c r="C44" s="38" t="s">
        <v>86</v>
      </c>
      <c r="D44" s="43" t="s">
        <v>66</v>
      </c>
      <c r="E44" s="43" t="s">
        <v>66</v>
      </c>
      <c r="F44" s="40"/>
      <c r="G44" s="41" t="s">
        <v>150</v>
      </c>
      <c r="H44" s="42" t="s">
        <v>151</v>
      </c>
      <c r="I44" s="47">
        <v>46332.0</v>
      </c>
    </row>
    <row r="45" ht="15.75" customHeight="1">
      <c r="A45" s="29" t="str">
        <f t="shared" si="5"/>
        <v>06 - JUN - 26 / 12/06 - SEX</v>
      </c>
      <c r="B45" s="30" t="s">
        <v>152</v>
      </c>
      <c r="C45" s="30" t="s">
        <v>86</v>
      </c>
      <c r="D45" s="35" t="s">
        <v>66</v>
      </c>
      <c r="E45" s="35" t="s">
        <v>66</v>
      </c>
      <c r="F45" s="32"/>
      <c r="G45" s="33" t="s">
        <v>153</v>
      </c>
      <c r="H45" s="36" t="s">
        <v>154</v>
      </c>
      <c r="I45" s="45">
        <v>46332.0</v>
      </c>
    </row>
    <row r="46" ht="15.75" customHeight="1">
      <c r="A46" s="29" t="str">
        <f t="shared" si="5"/>
        <v>06 - JUN - 26 / 12/06 - SEX</v>
      </c>
      <c r="B46" s="30" t="s">
        <v>155</v>
      </c>
      <c r="C46" s="30" t="s">
        <v>86</v>
      </c>
      <c r="D46" s="35" t="s">
        <v>66</v>
      </c>
      <c r="E46" s="35" t="s">
        <v>66</v>
      </c>
      <c r="F46" s="32"/>
      <c r="G46" s="33" t="s">
        <v>156</v>
      </c>
      <c r="H46" s="36" t="s">
        <v>157</v>
      </c>
      <c r="I46" s="45">
        <v>46332.0</v>
      </c>
    </row>
    <row r="47" ht="15.75" customHeight="1">
      <c r="A47" s="29" t="str">
        <f t="shared" si="5"/>
        <v>06 - JUN - 26 / 12/06 - SEX</v>
      </c>
      <c r="B47" s="30" t="s">
        <v>158</v>
      </c>
      <c r="C47" s="30" t="s">
        <v>86</v>
      </c>
      <c r="D47" s="35" t="s">
        <v>66</v>
      </c>
      <c r="E47" s="35" t="s">
        <v>66</v>
      </c>
      <c r="F47" s="32"/>
      <c r="G47" s="33" t="s">
        <v>159</v>
      </c>
      <c r="H47" s="36" t="s">
        <v>160</v>
      </c>
      <c r="I47" s="45">
        <v>46332.0</v>
      </c>
    </row>
    <row r="48" ht="15.75" customHeight="1">
      <c r="A48" s="29" t="str">
        <f t="shared" si="5"/>
        <v>06 - JUN - 26 / 12/06 - SEX</v>
      </c>
      <c r="B48" s="30" t="s">
        <v>161</v>
      </c>
      <c r="C48" s="30" t="s">
        <v>86</v>
      </c>
      <c r="D48" s="35" t="s">
        <v>66</v>
      </c>
      <c r="E48" s="35" t="s">
        <v>66</v>
      </c>
      <c r="F48" s="32"/>
      <c r="G48" s="33" t="s">
        <v>162</v>
      </c>
      <c r="H48" s="36" t="s">
        <v>163</v>
      </c>
      <c r="I48" s="45">
        <v>46332.0</v>
      </c>
    </row>
    <row r="49" ht="15.75" customHeight="1">
      <c r="A49" s="29" t="str">
        <f t="shared" si="5"/>
        <v>06 - JUN - 26 / 12/06 - SEX</v>
      </c>
      <c r="B49" s="30" t="s">
        <v>164</v>
      </c>
      <c r="C49" s="30" t="s">
        <v>86</v>
      </c>
      <c r="D49" s="35" t="s">
        <v>66</v>
      </c>
      <c r="E49" s="35" t="s">
        <v>66</v>
      </c>
      <c r="F49" s="32"/>
      <c r="G49" s="33" t="s">
        <v>165</v>
      </c>
      <c r="H49" s="36" t="s">
        <v>166</v>
      </c>
      <c r="I49" s="45">
        <v>46332.0</v>
      </c>
    </row>
    <row r="50" ht="15.75" customHeight="1">
      <c r="A50" s="29" t="str">
        <f t="shared" si="5"/>
        <v>06 - JUN - 26 / 12/06 - SEX</v>
      </c>
      <c r="B50" s="30" t="s">
        <v>167</v>
      </c>
      <c r="C50" s="30" t="s">
        <v>86</v>
      </c>
      <c r="D50" s="35" t="s">
        <v>66</v>
      </c>
      <c r="E50" s="35" t="s">
        <v>66</v>
      </c>
      <c r="F50" s="32"/>
      <c r="G50" s="33" t="s">
        <v>168</v>
      </c>
      <c r="H50" s="36" t="s">
        <v>169</v>
      </c>
      <c r="I50" s="45">
        <v>46332.0</v>
      </c>
    </row>
    <row r="51" ht="15.75" customHeight="1">
      <c r="A51" s="29" t="str">
        <f t="shared" si="5"/>
        <v>06 - JUN - 26 / 12/06 - SEX</v>
      </c>
      <c r="B51" s="30" t="s">
        <v>170</v>
      </c>
      <c r="C51" s="30" t="s">
        <v>86</v>
      </c>
      <c r="D51" s="35" t="s">
        <v>66</v>
      </c>
      <c r="E51" s="35" t="s">
        <v>66</v>
      </c>
      <c r="F51" s="46">
        <v>1893.0</v>
      </c>
      <c r="G51" s="33" t="s">
        <v>171</v>
      </c>
      <c r="H51" s="36" t="s">
        <v>172</v>
      </c>
      <c r="I51" s="45">
        <v>46332.0</v>
      </c>
    </row>
    <row r="52" ht="15.75" customHeight="1">
      <c r="A52" s="29" t="str">
        <f t="shared" si="5"/>
        <v>06 - JUN - 26 / 12/06 - SEX</v>
      </c>
      <c r="B52" s="30" t="s">
        <v>173</v>
      </c>
      <c r="C52" s="30" t="s">
        <v>86</v>
      </c>
      <c r="D52" s="35" t="s">
        <v>66</v>
      </c>
      <c r="E52" s="35" t="s">
        <v>66</v>
      </c>
      <c r="F52" s="46">
        <v>1893.0</v>
      </c>
      <c r="G52" s="33" t="s">
        <v>174</v>
      </c>
      <c r="H52" s="36" t="s">
        <v>175</v>
      </c>
      <c r="I52" s="45">
        <v>46301.0</v>
      </c>
    </row>
    <row r="53" ht="15.75" customHeight="1">
      <c r="A53" s="29" t="str">
        <f t="shared" si="5"/>
        <v>06 - JUN - 26 / 12/06 - SEX</v>
      </c>
      <c r="B53" s="30" t="s">
        <v>176</v>
      </c>
      <c r="C53" s="30" t="s">
        <v>86</v>
      </c>
      <c r="D53" s="35" t="s">
        <v>66</v>
      </c>
      <c r="E53" s="35" t="s">
        <v>66</v>
      </c>
      <c r="F53" s="46">
        <v>1893.0</v>
      </c>
      <c r="G53" s="33" t="s">
        <v>177</v>
      </c>
      <c r="H53" s="36" t="s">
        <v>178</v>
      </c>
      <c r="I53" s="45">
        <v>46301.0</v>
      </c>
    </row>
    <row r="54" ht="15.75" customHeight="1">
      <c r="A54" s="29" t="str">
        <f t="shared" si="5"/>
        <v>06 - JUN - 26 / 12/06 - SEX</v>
      </c>
      <c r="B54" s="30" t="s">
        <v>179</v>
      </c>
      <c r="C54" s="30" t="s">
        <v>86</v>
      </c>
      <c r="D54" s="35" t="s">
        <v>66</v>
      </c>
      <c r="E54" s="35" t="s">
        <v>66</v>
      </c>
      <c r="F54" s="46">
        <v>1893.0</v>
      </c>
      <c r="G54" s="33" t="s">
        <v>180</v>
      </c>
      <c r="H54" s="36" t="s">
        <v>181</v>
      </c>
      <c r="I54" s="45">
        <v>46301.0</v>
      </c>
    </row>
    <row r="55" ht="15.75" customHeight="1">
      <c r="A55" s="37" t="str">
        <f t="shared" ref="A55:A65" si="6">HYPERLINK("https://drive.google.com/drive/folders/1q-MH5q-EWKNCQpFQMK44xFO4tb_SIuQ3", "06 - JUN - 26 / 11/06 - QUI")</f>
        <v>06 - JUN - 26 / 11/06 - QUI</v>
      </c>
      <c r="B55" s="38" t="s">
        <v>182</v>
      </c>
      <c r="C55" s="38" t="s">
        <v>86</v>
      </c>
      <c r="D55" s="43" t="s">
        <v>66</v>
      </c>
      <c r="E55" s="43" t="s">
        <v>66</v>
      </c>
      <c r="F55" s="40"/>
      <c r="G55" s="41" t="s">
        <v>183</v>
      </c>
      <c r="H55" s="42" t="s">
        <v>184</v>
      </c>
      <c r="I55" s="47">
        <v>46301.0</v>
      </c>
    </row>
    <row r="56" ht="15.75" customHeight="1">
      <c r="A56" s="29" t="str">
        <f t="shared" si="6"/>
        <v>06 - JUN - 26 / 11/06 - QUI</v>
      </c>
      <c r="B56" s="30" t="s">
        <v>185</v>
      </c>
      <c r="C56" s="30" t="s">
        <v>86</v>
      </c>
      <c r="D56" s="35" t="s">
        <v>66</v>
      </c>
      <c r="E56" s="35" t="s">
        <v>66</v>
      </c>
      <c r="F56" s="32"/>
      <c r="G56" s="33" t="s">
        <v>186</v>
      </c>
      <c r="H56" s="36" t="s">
        <v>187</v>
      </c>
      <c r="I56" s="45">
        <v>46301.0</v>
      </c>
    </row>
    <row r="57" ht="15.75" customHeight="1">
      <c r="A57" s="29" t="str">
        <f t="shared" si="6"/>
        <v>06 - JUN - 26 / 11/06 - QUI</v>
      </c>
      <c r="B57" s="30" t="s">
        <v>188</v>
      </c>
      <c r="C57" s="30" t="s">
        <v>86</v>
      </c>
      <c r="D57" s="35" t="s">
        <v>66</v>
      </c>
      <c r="E57" s="35" t="s">
        <v>66</v>
      </c>
      <c r="F57" s="32"/>
      <c r="G57" s="33" t="s">
        <v>189</v>
      </c>
      <c r="H57" s="36" t="s">
        <v>190</v>
      </c>
      <c r="I57" s="45">
        <v>46301.0</v>
      </c>
    </row>
    <row r="58" ht="15.75" customHeight="1">
      <c r="A58" s="29" t="str">
        <f t="shared" si="6"/>
        <v>06 - JUN - 26 / 11/06 - QUI</v>
      </c>
      <c r="B58" s="30" t="s">
        <v>191</v>
      </c>
      <c r="C58" s="30" t="s">
        <v>86</v>
      </c>
      <c r="D58" s="35" t="s">
        <v>66</v>
      </c>
      <c r="E58" s="35" t="s">
        <v>66</v>
      </c>
      <c r="F58" s="32"/>
      <c r="G58" s="33" t="s">
        <v>192</v>
      </c>
      <c r="H58" s="36" t="s">
        <v>193</v>
      </c>
      <c r="I58" s="45">
        <v>46301.0</v>
      </c>
    </row>
    <row r="59" ht="15.75" customHeight="1">
      <c r="A59" s="29" t="str">
        <f t="shared" si="6"/>
        <v>06 - JUN - 26 / 11/06 - QUI</v>
      </c>
      <c r="B59" s="30" t="s">
        <v>194</v>
      </c>
      <c r="C59" s="30" t="s">
        <v>86</v>
      </c>
      <c r="D59" s="35" t="s">
        <v>66</v>
      </c>
      <c r="E59" s="35" t="s">
        <v>66</v>
      </c>
      <c r="F59" s="32"/>
      <c r="G59" s="33" t="s">
        <v>195</v>
      </c>
      <c r="H59" s="36" t="s">
        <v>196</v>
      </c>
      <c r="I59" s="45">
        <v>46301.0</v>
      </c>
    </row>
    <row r="60" ht="15.75" customHeight="1">
      <c r="A60" s="29" t="str">
        <f t="shared" si="6"/>
        <v>06 - JUN - 26 / 11/06 - QUI</v>
      </c>
      <c r="B60" s="30" t="s">
        <v>197</v>
      </c>
      <c r="C60" s="30" t="s">
        <v>86</v>
      </c>
      <c r="D60" s="35" t="s">
        <v>66</v>
      </c>
      <c r="E60" s="35" t="s">
        <v>66</v>
      </c>
      <c r="F60" s="32"/>
      <c r="G60" s="33" t="s">
        <v>198</v>
      </c>
      <c r="H60" s="36" t="s">
        <v>199</v>
      </c>
      <c r="I60" s="45">
        <v>46301.0</v>
      </c>
    </row>
    <row r="61" ht="15.75" customHeight="1">
      <c r="A61" s="29" t="str">
        <f t="shared" si="6"/>
        <v>06 - JUN - 26 / 11/06 - QUI</v>
      </c>
      <c r="B61" s="30" t="s">
        <v>200</v>
      </c>
      <c r="C61" s="30" t="s">
        <v>86</v>
      </c>
      <c r="D61" s="35" t="s">
        <v>66</v>
      </c>
      <c r="E61" s="35" t="s">
        <v>66</v>
      </c>
      <c r="F61" s="32"/>
      <c r="G61" s="33" t="s">
        <v>201</v>
      </c>
      <c r="H61" s="36" t="s">
        <v>202</v>
      </c>
      <c r="I61" s="45">
        <v>46301.0</v>
      </c>
    </row>
    <row r="62" ht="15.75" customHeight="1">
      <c r="A62" s="29" t="str">
        <f t="shared" si="6"/>
        <v>06 - JUN - 26 / 11/06 - QUI</v>
      </c>
      <c r="B62" s="30" t="s">
        <v>203</v>
      </c>
      <c r="C62" s="30" t="s">
        <v>86</v>
      </c>
      <c r="D62" s="35" t="s">
        <v>66</v>
      </c>
      <c r="E62" s="35" t="s">
        <v>66</v>
      </c>
      <c r="F62" s="32"/>
      <c r="G62" s="33" t="s">
        <v>204</v>
      </c>
      <c r="H62" s="36" t="s">
        <v>205</v>
      </c>
      <c r="I62" s="45">
        <v>46301.0</v>
      </c>
    </row>
    <row r="63" ht="15.75" customHeight="1">
      <c r="A63" s="29" t="str">
        <f t="shared" si="6"/>
        <v>06 - JUN - 26 / 11/06 - QUI</v>
      </c>
      <c r="B63" s="30" t="s">
        <v>206</v>
      </c>
      <c r="C63" s="30" t="s">
        <v>86</v>
      </c>
      <c r="D63" s="35" t="s">
        <v>66</v>
      </c>
      <c r="E63" s="35" t="s">
        <v>66</v>
      </c>
      <c r="F63" s="32"/>
      <c r="G63" s="33" t="s">
        <v>207</v>
      </c>
      <c r="H63" s="36" t="s">
        <v>208</v>
      </c>
      <c r="I63" s="45">
        <v>46301.0</v>
      </c>
    </row>
    <row r="64" ht="15.75" customHeight="1">
      <c r="A64" s="29" t="str">
        <f t="shared" si="6"/>
        <v>06 - JUN - 26 / 11/06 - QUI</v>
      </c>
      <c r="B64" s="30" t="s">
        <v>209</v>
      </c>
      <c r="C64" s="30" t="s">
        <v>86</v>
      </c>
      <c r="D64" s="35" t="s">
        <v>66</v>
      </c>
      <c r="E64" s="35" t="s">
        <v>66</v>
      </c>
      <c r="F64" s="32"/>
      <c r="G64" s="33" t="s">
        <v>210</v>
      </c>
      <c r="H64" s="36" t="s">
        <v>211</v>
      </c>
      <c r="I64" s="45">
        <v>46301.0</v>
      </c>
    </row>
    <row r="65" ht="15.75" customHeight="1">
      <c r="A65" s="29" t="str">
        <f t="shared" si="6"/>
        <v>06 - JUN - 26 / 11/06 - QUI</v>
      </c>
      <c r="B65" s="30" t="s">
        <v>212</v>
      </c>
      <c r="C65" s="30" t="s">
        <v>86</v>
      </c>
      <c r="D65" s="35" t="s">
        <v>66</v>
      </c>
      <c r="E65" s="35" t="s">
        <v>66</v>
      </c>
      <c r="F65" s="32"/>
      <c r="G65" s="33" t="s">
        <v>213</v>
      </c>
      <c r="H65" s="36" t="s">
        <v>214</v>
      </c>
      <c r="I65" s="45">
        <v>46301.0</v>
      </c>
    </row>
    <row r="66" ht="15.75" customHeight="1">
      <c r="A66" s="37" t="str">
        <f t="shared" ref="A66:A76" si="7">HYPERLINK("https://drive.google.com/drive/folders/1ycJtAPjSHZy9t_qDVDFZkCg0-v7GaVyc", "06 - JUN - 26 / 10/06 - QUA")</f>
        <v>06 - JUN - 26 / 10/06 - QUA</v>
      </c>
      <c r="B66" s="38" t="s">
        <v>215</v>
      </c>
      <c r="C66" s="38" t="s">
        <v>86</v>
      </c>
      <c r="D66" s="43" t="s">
        <v>66</v>
      </c>
      <c r="E66" s="43" t="s">
        <v>66</v>
      </c>
      <c r="F66" s="40"/>
      <c r="G66" s="41" t="s">
        <v>216</v>
      </c>
      <c r="H66" s="42" t="s">
        <v>217</v>
      </c>
      <c r="I66" s="47">
        <v>46301.0</v>
      </c>
    </row>
    <row r="67" ht="15.75" customHeight="1">
      <c r="A67" s="29" t="str">
        <f t="shared" si="7"/>
        <v>06 - JUN - 26 / 10/06 - QUA</v>
      </c>
      <c r="B67" s="30" t="s">
        <v>218</v>
      </c>
      <c r="C67" s="30" t="s">
        <v>86</v>
      </c>
      <c r="D67" s="35" t="s">
        <v>66</v>
      </c>
      <c r="E67" s="35" t="s">
        <v>66</v>
      </c>
      <c r="F67" s="32"/>
      <c r="G67" s="33" t="s">
        <v>219</v>
      </c>
      <c r="H67" s="36" t="s">
        <v>220</v>
      </c>
      <c r="I67" s="45">
        <v>46271.0</v>
      </c>
    </row>
    <row r="68" ht="15.75" customHeight="1">
      <c r="A68" s="29" t="str">
        <f t="shared" si="7"/>
        <v>06 - JUN - 26 / 10/06 - QUA</v>
      </c>
      <c r="B68" s="30" t="s">
        <v>221</v>
      </c>
      <c r="C68" s="30" t="s">
        <v>86</v>
      </c>
      <c r="D68" s="35" t="s">
        <v>66</v>
      </c>
      <c r="E68" s="35" t="s">
        <v>66</v>
      </c>
      <c r="F68" s="32"/>
      <c r="G68" s="33" t="s">
        <v>222</v>
      </c>
      <c r="H68" s="36" t="s">
        <v>223</v>
      </c>
      <c r="I68" s="45">
        <v>46271.0</v>
      </c>
    </row>
    <row r="69" ht="15.75" customHeight="1">
      <c r="A69" s="29" t="str">
        <f t="shared" si="7"/>
        <v>06 - JUN - 26 / 10/06 - QUA</v>
      </c>
      <c r="B69" s="30" t="s">
        <v>224</v>
      </c>
      <c r="C69" s="30" t="s">
        <v>86</v>
      </c>
      <c r="D69" s="35" t="s">
        <v>66</v>
      </c>
      <c r="E69" s="35" t="s">
        <v>66</v>
      </c>
      <c r="F69" s="32"/>
      <c r="G69" s="33" t="s">
        <v>225</v>
      </c>
      <c r="H69" s="36" t="s">
        <v>226</v>
      </c>
      <c r="I69" s="45">
        <v>46271.0</v>
      </c>
    </row>
    <row r="70" ht="15.75" customHeight="1">
      <c r="A70" s="29" t="str">
        <f t="shared" si="7"/>
        <v>06 - JUN - 26 / 10/06 - QUA</v>
      </c>
      <c r="B70" s="30" t="s">
        <v>227</v>
      </c>
      <c r="C70" s="30" t="s">
        <v>86</v>
      </c>
      <c r="D70" s="35" t="s">
        <v>66</v>
      </c>
      <c r="E70" s="35" t="s">
        <v>66</v>
      </c>
      <c r="F70" s="32"/>
      <c r="G70" s="33" t="s">
        <v>228</v>
      </c>
      <c r="H70" s="36" t="s">
        <v>229</v>
      </c>
      <c r="I70" s="45">
        <v>46271.0</v>
      </c>
    </row>
    <row r="71" ht="15.75" customHeight="1">
      <c r="A71" s="29" t="str">
        <f t="shared" si="7"/>
        <v>06 - JUN - 26 / 10/06 - QUA</v>
      </c>
      <c r="B71" s="30" t="s">
        <v>230</v>
      </c>
      <c r="C71" s="30" t="s">
        <v>86</v>
      </c>
      <c r="D71" s="35" t="s">
        <v>66</v>
      </c>
      <c r="E71" s="35" t="s">
        <v>66</v>
      </c>
      <c r="F71" s="32"/>
      <c r="G71" s="33" t="s">
        <v>231</v>
      </c>
      <c r="H71" s="36" t="s">
        <v>232</v>
      </c>
      <c r="I71" s="45">
        <v>46271.0</v>
      </c>
    </row>
    <row r="72" ht="15.75" customHeight="1">
      <c r="A72" s="29" t="str">
        <f t="shared" si="7"/>
        <v>06 - JUN - 26 / 10/06 - QUA</v>
      </c>
      <c r="B72" s="30" t="s">
        <v>233</v>
      </c>
      <c r="C72" s="30" t="s">
        <v>86</v>
      </c>
      <c r="D72" s="35" t="s">
        <v>66</v>
      </c>
      <c r="E72" s="35" t="s">
        <v>66</v>
      </c>
      <c r="F72" s="32"/>
      <c r="G72" s="33" t="s">
        <v>234</v>
      </c>
      <c r="H72" s="36" t="s">
        <v>235</v>
      </c>
      <c r="I72" s="45">
        <v>46271.0</v>
      </c>
    </row>
    <row r="73" ht="15.75" customHeight="1">
      <c r="A73" s="29" t="str">
        <f t="shared" si="7"/>
        <v>06 - JUN - 26 / 10/06 - QUA</v>
      </c>
      <c r="B73" s="30" t="s">
        <v>236</v>
      </c>
      <c r="C73" s="30" t="s">
        <v>86</v>
      </c>
      <c r="D73" s="35" t="s">
        <v>66</v>
      </c>
      <c r="E73" s="35" t="s">
        <v>66</v>
      </c>
      <c r="F73" s="32"/>
      <c r="G73" s="33" t="s">
        <v>237</v>
      </c>
      <c r="H73" s="36" t="s">
        <v>238</v>
      </c>
      <c r="I73" s="45">
        <v>46271.0</v>
      </c>
    </row>
    <row r="74" ht="15.75" customHeight="1">
      <c r="A74" s="29" t="str">
        <f t="shared" si="7"/>
        <v>06 - JUN - 26 / 10/06 - QUA</v>
      </c>
      <c r="B74" s="30" t="s">
        <v>239</v>
      </c>
      <c r="C74" s="30" t="s">
        <v>86</v>
      </c>
      <c r="D74" s="35" t="s">
        <v>66</v>
      </c>
      <c r="E74" s="35" t="s">
        <v>66</v>
      </c>
      <c r="F74" s="32"/>
      <c r="G74" s="33" t="s">
        <v>240</v>
      </c>
      <c r="H74" s="36" t="s">
        <v>241</v>
      </c>
      <c r="I74" s="45">
        <v>46271.0</v>
      </c>
    </row>
    <row r="75" ht="15.75" customHeight="1">
      <c r="A75" s="29" t="str">
        <f t="shared" si="7"/>
        <v>06 - JUN - 26 / 10/06 - QUA</v>
      </c>
      <c r="B75" s="30" t="s">
        <v>242</v>
      </c>
      <c r="C75" s="30" t="s">
        <v>86</v>
      </c>
      <c r="D75" s="35" t="s">
        <v>66</v>
      </c>
      <c r="E75" s="35" t="s">
        <v>66</v>
      </c>
      <c r="F75" s="32"/>
      <c r="G75" s="33" t="s">
        <v>243</v>
      </c>
      <c r="H75" s="36" t="s">
        <v>244</v>
      </c>
      <c r="I75" s="45">
        <v>46271.0</v>
      </c>
    </row>
    <row r="76" ht="15.75" customHeight="1">
      <c r="A76" s="29" t="str">
        <f t="shared" si="7"/>
        <v>06 - JUN - 26 / 10/06 - QUA</v>
      </c>
      <c r="B76" s="30" t="s">
        <v>245</v>
      </c>
      <c r="C76" s="30" t="s">
        <v>86</v>
      </c>
      <c r="D76" s="35" t="s">
        <v>66</v>
      </c>
      <c r="E76" s="35" t="s">
        <v>66</v>
      </c>
      <c r="F76" s="32"/>
      <c r="G76" s="33" t="s">
        <v>246</v>
      </c>
      <c r="H76" s="36" t="s">
        <v>247</v>
      </c>
      <c r="I76" s="45">
        <v>46271.0</v>
      </c>
    </row>
    <row r="77" ht="15.75" customHeight="1">
      <c r="A77" s="37" t="str">
        <f t="shared" ref="A77:A87" si="8">HYPERLINK("https://drive.google.com/drive/folders/1JyFO90AiKulA8KyVjkUMalzG8vZf_eDT", "06 - JUN - 26 / 09/06 - TER")</f>
        <v>06 - JUN - 26 / 09/06 - TER</v>
      </c>
      <c r="B77" s="38" t="s">
        <v>248</v>
      </c>
      <c r="C77" s="38" t="s">
        <v>86</v>
      </c>
      <c r="D77" s="43" t="s">
        <v>66</v>
      </c>
      <c r="E77" s="43" t="s">
        <v>66</v>
      </c>
      <c r="F77" s="40"/>
      <c r="G77" s="41" t="s">
        <v>249</v>
      </c>
      <c r="H77" s="42" t="s">
        <v>250</v>
      </c>
      <c r="I77" s="47">
        <v>46301.0</v>
      </c>
    </row>
    <row r="78" ht="15.75" customHeight="1">
      <c r="A78" s="29" t="str">
        <f t="shared" si="8"/>
        <v>06 - JUN - 26 / 09/06 - TER</v>
      </c>
      <c r="B78" s="30" t="s">
        <v>251</v>
      </c>
      <c r="C78" s="30" t="s">
        <v>86</v>
      </c>
      <c r="D78" s="35" t="s">
        <v>66</v>
      </c>
      <c r="E78" s="35" t="s">
        <v>66</v>
      </c>
      <c r="F78" s="32"/>
      <c r="G78" s="33" t="s">
        <v>252</v>
      </c>
      <c r="H78" s="36" t="s">
        <v>253</v>
      </c>
      <c r="I78" s="45">
        <v>46240.0</v>
      </c>
    </row>
    <row r="79" ht="15.75" customHeight="1">
      <c r="A79" s="29" t="str">
        <f t="shared" si="8"/>
        <v>06 - JUN - 26 / 09/06 - TER</v>
      </c>
      <c r="B79" s="30" t="s">
        <v>254</v>
      </c>
      <c r="C79" s="30" t="s">
        <v>86</v>
      </c>
      <c r="D79" s="35" t="s">
        <v>66</v>
      </c>
      <c r="E79" s="35" t="s">
        <v>66</v>
      </c>
      <c r="F79" s="32"/>
      <c r="G79" s="33" t="s">
        <v>255</v>
      </c>
      <c r="H79" s="36" t="s">
        <v>256</v>
      </c>
      <c r="I79" s="45">
        <v>46240.0</v>
      </c>
    </row>
    <row r="80" ht="15.75" customHeight="1">
      <c r="A80" s="29" t="str">
        <f t="shared" si="8"/>
        <v>06 - JUN - 26 / 09/06 - TER</v>
      </c>
      <c r="B80" s="30" t="s">
        <v>257</v>
      </c>
      <c r="C80" s="30" t="s">
        <v>86</v>
      </c>
      <c r="D80" s="35" t="s">
        <v>66</v>
      </c>
      <c r="E80" s="35" t="s">
        <v>66</v>
      </c>
      <c r="F80" s="32"/>
      <c r="G80" s="33" t="s">
        <v>258</v>
      </c>
      <c r="H80" s="36" t="s">
        <v>259</v>
      </c>
      <c r="I80" s="45">
        <v>46240.0</v>
      </c>
    </row>
    <row r="81" ht="15.75" customHeight="1">
      <c r="A81" s="29" t="str">
        <f t="shared" si="8"/>
        <v>06 - JUN - 26 / 09/06 - TER</v>
      </c>
      <c r="B81" s="30" t="s">
        <v>260</v>
      </c>
      <c r="C81" s="30" t="s">
        <v>86</v>
      </c>
      <c r="D81" s="35" t="s">
        <v>66</v>
      </c>
      <c r="E81" s="35" t="s">
        <v>66</v>
      </c>
      <c r="F81" s="32"/>
      <c r="G81" s="33" t="s">
        <v>261</v>
      </c>
      <c r="H81" s="36" t="s">
        <v>262</v>
      </c>
      <c r="I81" s="45">
        <v>46240.0</v>
      </c>
    </row>
    <row r="82" ht="15.75" customHeight="1">
      <c r="A82" s="29" t="str">
        <f t="shared" si="8"/>
        <v>06 - JUN - 26 / 09/06 - TER</v>
      </c>
      <c r="B82" s="30" t="s">
        <v>263</v>
      </c>
      <c r="C82" s="30" t="s">
        <v>86</v>
      </c>
      <c r="D82" s="35" t="s">
        <v>66</v>
      </c>
      <c r="E82" s="35" t="s">
        <v>66</v>
      </c>
      <c r="F82" s="32"/>
      <c r="G82" s="33" t="s">
        <v>264</v>
      </c>
      <c r="H82" s="36" t="s">
        <v>265</v>
      </c>
      <c r="I82" s="44">
        <v>46240.0</v>
      </c>
    </row>
    <row r="83" ht="15.75" customHeight="1">
      <c r="A83" s="29" t="str">
        <f t="shared" si="8"/>
        <v>06 - JUN - 26 / 09/06 - TER</v>
      </c>
      <c r="B83" s="30" t="s">
        <v>266</v>
      </c>
      <c r="C83" s="30" t="s">
        <v>86</v>
      </c>
      <c r="D83" s="35" t="s">
        <v>66</v>
      </c>
      <c r="E83" s="35" t="s">
        <v>66</v>
      </c>
      <c r="F83" s="32"/>
      <c r="G83" s="33" t="s">
        <v>267</v>
      </c>
      <c r="H83" s="36" t="s">
        <v>268</v>
      </c>
      <c r="I83" s="44">
        <v>46240.0</v>
      </c>
    </row>
    <row r="84" ht="15.75" customHeight="1">
      <c r="A84" s="29" t="str">
        <f t="shared" si="8"/>
        <v>06 - JUN - 26 / 09/06 - TER</v>
      </c>
      <c r="B84" s="30" t="s">
        <v>269</v>
      </c>
      <c r="C84" s="30" t="s">
        <v>86</v>
      </c>
      <c r="D84" s="35" t="s">
        <v>66</v>
      </c>
      <c r="E84" s="35" t="s">
        <v>66</v>
      </c>
      <c r="F84" s="32"/>
      <c r="G84" s="33" t="s">
        <v>270</v>
      </c>
      <c r="H84" s="36" t="s">
        <v>271</v>
      </c>
      <c r="I84" s="44">
        <v>46240.0</v>
      </c>
    </row>
    <row r="85" ht="15.75" customHeight="1">
      <c r="A85" s="29" t="str">
        <f t="shared" si="8"/>
        <v>06 - JUN - 26 / 09/06 - TER</v>
      </c>
      <c r="B85" s="30" t="s">
        <v>272</v>
      </c>
      <c r="C85" s="30" t="s">
        <v>86</v>
      </c>
      <c r="D85" s="35" t="s">
        <v>66</v>
      </c>
      <c r="E85" s="35" t="s">
        <v>66</v>
      </c>
      <c r="F85" s="32"/>
      <c r="G85" s="33" t="s">
        <v>273</v>
      </c>
      <c r="H85" s="36" t="s">
        <v>274</v>
      </c>
      <c r="I85" s="44">
        <v>46240.0</v>
      </c>
    </row>
    <row r="86" ht="15.75" customHeight="1">
      <c r="A86" s="29" t="str">
        <f t="shared" si="8"/>
        <v>06 - JUN - 26 / 09/06 - TER</v>
      </c>
      <c r="B86" s="30" t="s">
        <v>275</v>
      </c>
      <c r="C86" s="30" t="s">
        <v>86</v>
      </c>
      <c r="D86" s="35" t="s">
        <v>66</v>
      </c>
      <c r="E86" s="35" t="s">
        <v>66</v>
      </c>
      <c r="F86" s="32"/>
      <c r="G86" s="33" t="s">
        <v>276</v>
      </c>
      <c r="H86" s="36" t="s">
        <v>277</v>
      </c>
      <c r="I86" s="44">
        <v>46240.0</v>
      </c>
    </row>
    <row r="87" ht="15.75" customHeight="1">
      <c r="A87" s="29" t="str">
        <f t="shared" si="8"/>
        <v>06 - JUN - 26 / 09/06 - TER</v>
      </c>
      <c r="B87" s="30" t="s">
        <v>278</v>
      </c>
      <c r="C87" s="30" t="s">
        <v>86</v>
      </c>
      <c r="D87" s="35" t="s">
        <v>66</v>
      </c>
      <c r="E87" s="35" t="s">
        <v>66</v>
      </c>
      <c r="F87" s="32"/>
      <c r="G87" s="33" t="s">
        <v>279</v>
      </c>
      <c r="H87" s="36" t="s">
        <v>280</v>
      </c>
      <c r="I87" s="44">
        <v>46087.0</v>
      </c>
    </row>
    <row r="88" ht="15.75" customHeight="1">
      <c r="A88" s="37" t="str">
        <f t="shared" ref="A88:A98" si="9">HYPERLINK("https://drive.google.com/drive/folders/157JlDshHLtClUfq1akjcd1PuBL3VPnDc", "06 - JUN - 26 / 08/06 - SEG")</f>
        <v>06 - JUN - 26 / 08/06 - SEG</v>
      </c>
      <c r="B88" s="38" t="s">
        <v>281</v>
      </c>
      <c r="C88" s="38" t="s">
        <v>86</v>
      </c>
      <c r="D88" s="43" t="s">
        <v>66</v>
      </c>
      <c r="E88" s="43" t="s">
        <v>66</v>
      </c>
      <c r="F88" s="40"/>
      <c r="G88" s="41" t="s">
        <v>282</v>
      </c>
      <c r="H88" s="42" t="s">
        <v>283</v>
      </c>
      <c r="I88" s="48">
        <v>46301.0</v>
      </c>
    </row>
    <row r="89" ht="15.75" customHeight="1">
      <c r="A89" s="29" t="str">
        <f t="shared" si="9"/>
        <v>06 - JUN - 26 / 08/06 - SEG</v>
      </c>
      <c r="B89" s="30" t="s">
        <v>284</v>
      </c>
      <c r="C89" s="30" t="s">
        <v>86</v>
      </c>
      <c r="D89" s="35" t="s">
        <v>66</v>
      </c>
      <c r="E89" s="35" t="s">
        <v>66</v>
      </c>
      <c r="F89" s="32"/>
      <c r="G89" s="33" t="s">
        <v>285</v>
      </c>
      <c r="H89" s="36" t="s">
        <v>286</v>
      </c>
      <c r="I89" s="44">
        <v>46087.0</v>
      </c>
    </row>
    <row r="90" ht="15.75" customHeight="1">
      <c r="A90" s="29" t="str">
        <f t="shared" si="9"/>
        <v>06 - JUN - 26 / 08/06 - SEG</v>
      </c>
      <c r="B90" s="30" t="s">
        <v>287</v>
      </c>
      <c r="C90" s="30" t="s">
        <v>86</v>
      </c>
      <c r="D90" s="35" t="s">
        <v>66</v>
      </c>
      <c r="E90" s="35" t="s">
        <v>66</v>
      </c>
      <c r="F90" s="32"/>
      <c r="G90" s="33" t="s">
        <v>288</v>
      </c>
      <c r="H90" s="36" t="s">
        <v>289</v>
      </c>
      <c r="I90" s="44">
        <v>46087.0</v>
      </c>
    </row>
    <row r="91" ht="15.75" customHeight="1">
      <c r="A91" s="29" t="str">
        <f t="shared" si="9"/>
        <v>06 - JUN - 26 / 08/06 - SEG</v>
      </c>
      <c r="B91" s="30" t="s">
        <v>290</v>
      </c>
      <c r="C91" s="30" t="s">
        <v>86</v>
      </c>
      <c r="D91" s="35" t="s">
        <v>66</v>
      </c>
      <c r="E91" s="35" t="s">
        <v>66</v>
      </c>
      <c r="F91" s="32"/>
      <c r="G91" s="33" t="s">
        <v>291</v>
      </c>
      <c r="H91" s="36" t="s">
        <v>292</v>
      </c>
      <c r="I91" s="44">
        <v>46087.0</v>
      </c>
    </row>
    <row r="92" ht="15.75" customHeight="1">
      <c r="A92" s="29" t="str">
        <f t="shared" si="9"/>
        <v>06 - JUN - 26 / 08/06 - SEG</v>
      </c>
      <c r="B92" s="30" t="s">
        <v>293</v>
      </c>
      <c r="C92" s="30" t="s">
        <v>86</v>
      </c>
      <c r="D92" s="35" t="s">
        <v>66</v>
      </c>
      <c r="E92" s="35" t="s">
        <v>66</v>
      </c>
      <c r="F92" s="32"/>
      <c r="G92" s="33" t="s">
        <v>294</v>
      </c>
      <c r="H92" s="36" t="s">
        <v>295</v>
      </c>
      <c r="I92" s="44">
        <v>46087.0</v>
      </c>
    </row>
    <row r="93" ht="15.75" customHeight="1">
      <c r="A93" s="29" t="str">
        <f t="shared" si="9"/>
        <v>06 - JUN - 26 / 08/06 - SEG</v>
      </c>
      <c r="B93" s="30" t="s">
        <v>296</v>
      </c>
      <c r="C93" s="30" t="s">
        <v>86</v>
      </c>
      <c r="D93" s="35" t="s">
        <v>66</v>
      </c>
      <c r="E93" s="35" t="s">
        <v>66</v>
      </c>
      <c r="F93" s="32"/>
      <c r="G93" s="33" t="s">
        <v>297</v>
      </c>
      <c r="H93" s="36" t="s">
        <v>298</v>
      </c>
      <c r="I93" s="44">
        <v>46087.0</v>
      </c>
    </row>
    <row r="94" ht="15.75" customHeight="1">
      <c r="A94" s="29" t="str">
        <f t="shared" si="9"/>
        <v>06 - JUN - 26 / 08/06 - SEG</v>
      </c>
      <c r="B94" s="30" t="s">
        <v>299</v>
      </c>
      <c r="C94" s="30" t="s">
        <v>86</v>
      </c>
      <c r="D94" s="35" t="s">
        <v>66</v>
      </c>
      <c r="E94" s="35" t="s">
        <v>66</v>
      </c>
      <c r="F94" s="32"/>
      <c r="G94" s="33" t="s">
        <v>300</v>
      </c>
      <c r="H94" s="36" t="s">
        <v>301</v>
      </c>
      <c r="I94" s="44">
        <v>46087.0</v>
      </c>
    </row>
    <row r="95" ht="15.75" customHeight="1">
      <c r="A95" s="29" t="str">
        <f t="shared" si="9"/>
        <v>06 - JUN - 26 / 08/06 - SEG</v>
      </c>
      <c r="B95" s="30" t="s">
        <v>302</v>
      </c>
      <c r="C95" s="30" t="s">
        <v>86</v>
      </c>
      <c r="D95" s="35" t="s">
        <v>66</v>
      </c>
      <c r="E95" s="35" t="s">
        <v>66</v>
      </c>
      <c r="F95" s="32"/>
      <c r="G95" s="33" t="s">
        <v>303</v>
      </c>
      <c r="H95" s="36" t="s">
        <v>304</v>
      </c>
      <c r="I95" s="44">
        <v>46087.0</v>
      </c>
    </row>
    <row r="96" ht="15.75" customHeight="1">
      <c r="A96" s="29" t="str">
        <f t="shared" si="9"/>
        <v>06 - JUN - 26 / 08/06 - SEG</v>
      </c>
      <c r="B96" s="30" t="s">
        <v>305</v>
      </c>
      <c r="C96" s="30" t="s">
        <v>86</v>
      </c>
      <c r="D96" s="35" t="s">
        <v>66</v>
      </c>
      <c r="E96" s="35" t="s">
        <v>66</v>
      </c>
      <c r="F96" s="32"/>
      <c r="G96" s="33" t="s">
        <v>306</v>
      </c>
      <c r="H96" s="36" t="s">
        <v>307</v>
      </c>
      <c r="I96" s="44">
        <v>46087.0</v>
      </c>
    </row>
    <row r="97" ht="15.75" customHeight="1">
      <c r="A97" s="29" t="str">
        <f t="shared" si="9"/>
        <v>06 - JUN - 26 / 08/06 - SEG</v>
      </c>
      <c r="B97" s="30" t="s">
        <v>308</v>
      </c>
      <c r="C97" s="30" t="s">
        <v>86</v>
      </c>
      <c r="D97" s="35" t="s">
        <v>66</v>
      </c>
      <c r="E97" s="35" t="s">
        <v>66</v>
      </c>
      <c r="F97" s="32"/>
      <c r="G97" s="33" t="s">
        <v>309</v>
      </c>
      <c r="H97" s="36" t="s">
        <v>310</v>
      </c>
      <c r="I97" s="44">
        <v>46059.0</v>
      </c>
    </row>
    <row r="98" ht="15.75" customHeight="1">
      <c r="A98" s="29" t="str">
        <f t="shared" si="9"/>
        <v>06 - JUN - 26 / 08/06 - SEG</v>
      </c>
      <c r="B98" s="30" t="s">
        <v>311</v>
      </c>
      <c r="C98" s="30" t="s">
        <v>86</v>
      </c>
      <c r="D98" s="35" t="s">
        <v>66</v>
      </c>
      <c r="E98" s="35" t="s">
        <v>66</v>
      </c>
      <c r="F98" s="32"/>
      <c r="G98" s="33" t="s">
        <v>312</v>
      </c>
      <c r="H98" s="36" t="s">
        <v>313</v>
      </c>
      <c r="I98" s="44">
        <v>46059.0</v>
      </c>
    </row>
    <row r="99" ht="15.75" customHeight="1">
      <c r="A99" s="37" t="str">
        <f t="shared" ref="A99:A108" si="10">HYPERLINK("https://drive.google.com/drive/folders/1tqLkWjEUWbU-SRQafbkSMNrFGAHeaYmN", "06 - JUN - 26 / 03/06 - QUA")</f>
        <v>06 - JUN - 26 / 03/06 - QUA</v>
      </c>
      <c r="B99" s="38" t="s">
        <v>314</v>
      </c>
      <c r="C99" s="38" t="s">
        <v>86</v>
      </c>
      <c r="D99" s="43" t="s">
        <v>315</v>
      </c>
      <c r="E99" s="43" t="s">
        <v>316</v>
      </c>
      <c r="F99" s="40"/>
      <c r="G99" s="41" t="s">
        <v>317</v>
      </c>
      <c r="H99" s="42" t="s">
        <v>318</v>
      </c>
      <c r="I99" s="48">
        <v>46059.0</v>
      </c>
    </row>
    <row r="100" ht="15.75" customHeight="1">
      <c r="A100" s="29" t="str">
        <f t="shared" si="10"/>
        <v>06 - JUN - 26 / 03/06 - QUA</v>
      </c>
      <c r="B100" s="30" t="s">
        <v>319</v>
      </c>
      <c r="C100" s="30" t="s">
        <v>86</v>
      </c>
      <c r="D100" s="35" t="s">
        <v>315</v>
      </c>
      <c r="E100" s="35" t="s">
        <v>316</v>
      </c>
      <c r="F100" s="32"/>
      <c r="G100" s="33" t="s">
        <v>320</v>
      </c>
      <c r="H100" s="36" t="s">
        <v>321</v>
      </c>
      <c r="I100" s="44">
        <v>46059.0</v>
      </c>
    </row>
    <row r="101" ht="15.75" customHeight="1">
      <c r="A101" s="29" t="str">
        <f t="shared" si="10"/>
        <v>06 - JUN - 26 / 03/06 - QUA</v>
      </c>
      <c r="B101" s="30" t="s">
        <v>322</v>
      </c>
      <c r="C101" s="30" t="s">
        <v>86</v>
      </c>
      <c r="D101" s="35" t="s">
        <v>315</v>
      </c>
      <c r="E101" s="35" t="s">
        <v>316</v>
      </c>
      <c r="F101" s="46">
        <v>1888.0</v>
      </c>
      <c r="G101" s="33" t="s">
        <v>323</v>
      </c>
      <c r="H101" s="36" t="s">
        <v>324</v>
      </c>
      <c r="I101" s="44">
        <v>46059.0</v>
      </c>
    </row>
    <row r="102" ht="15.75" customHeight="1">
      <c r="A102" s="29" t="str">
        <f t="shared" si="10"/>
        <v>06 - JUN - 26 / 03/06 - QUA</v>
      </c>
      <c r="B102" s="30" t="s">
        <v>325</v>
      </c>
      <c r="C102" s="30" t="s">
        <v>86</v>
      </c>
      <c r="D102" s="35" t="s">
        <v>315</v>
      </c>
      <c r="E102" s="35" t="s">
        <v>316</v>
      </c>
      <c r="F102" s="32"/>
      <c r="G102" s="33" t="s">
        <v>326</v>
      </c>
      <c r="H102" s="36" t="s">
        <v>327</v>
      </c>
      <c r="I102" s="44">
        <v>46059.0</v>
      </c>
    </row>
    <row r="103" ht="15.75" customHeight="1">
      <c r="A103" s="29" t="str">
        <f t="shared" si="10"/>
        <v>06 - JUN - 26 / 03/06 - QUA</v>
      </c>
      <c r="B103" s="30" t="s">
        <v>328</v>
      </c>
      <c r="C103" s="30" t="s">
        <v>86</v>
      </c>
      <c r="D103" s="35" t="s">
        <v>315</v>
      </c>
      <c r="E103" s="35" t="s">
        <v>316</v>
      </c>
      <c r="F103" s="32"/>
      <c r="G103" s="33" t="s">
        <v>329</v>
      </c>
      <c r="H103" s="36" t="s">
        <v>330</v>
      </c>
      <c r="I103" s="44">
        <v>46059.0</v>
      </c>
    </row>
    <row r="104" ht="15.75" customHeight="1">
      <c r="A104" s="29" t="str">
        <f t="shared" si="10"/>
        <v>06 - JUN - 26 / 03/06 - QUA</v>
      </c>
      <c r="B104" s="30" t="s">
        <v>331</v>
      </c>
      <c r="C104" s="30" t="s">
        <v>86</v>
      </c>
      <c r="D104" s="35" t="s">
        <v>316</v>
      </c>
      <c r="E104" s="35" t="s">
        <v>316</v>
      </c>
      <c r="F104" s="46">
        <v>1888.0</v>
      </c>
      <c r="G104" s="33" t="s">
        <v>332</v>
      </c>
      <c r="H104" s="36" t="s">
        <v>333</v>
      </c>
      <c r="I104" s="44">
        <v>46059.0</v>
      </c>
    </row>
    <row r="105" ht="15.75" customHeight="1">
      <c r="A105" s="29" t="str">
        <f t="shared" si="10"/>
        <v>06 - JUN - 26 / 03/06 - QUA</v>
      </c>
      <c r="B105" s="30" t="s">
        <v>334</v>
      </c>
      <c r="C105" s="30" t="s">
        <v>86</v>
      </c>
      <c r="D105" s="35" t="s">
        <v>316</v>
      </c>
      <c r="E105" s="35" t="s">
        <v>316</v>
      </c>
      <c r="F105" s="32"/>
      <c r="G105" s="33" t="s">
        <v>335</v>
      </c>
      <c r="H105" s="36" t="s">
        <v>336</v>
      </c>
      <c r="I105" s="44">
        <v>46059.0</v>
      </c>
    </row>
    <row r="106" ht="15.75" customHeight="1">
      <c r="A106" s="29" t="str">
        <f t="shared" si="10"/>
        <v>06 - JUN - 26 / 03/06 - QUA</v>
      </c>
      <c r="B106" s="30" t="s">
        <v>337</v>
      </c>
      <c r="C106" s="30" t="s">
        <v>86</v>
      </c>
      <c r="D106" s="35" t="s">
        <v>316</v>
      </c>
      <c r="E106" s="35" t="s">
        <v>316</v>
      </c>
      <c r="F106" s="32"/>
      <c r="G106" s="33" t="s">
        <v>338</v>
      </c>
      <c r="H106" s="36" t="s">
        <v>339</v>
      </c>
      <c r="I106" s="44">
        <v>46059.0</v>
      </c>
    </row>
    <row r="107" ht="15.75" customHeight="1">
      <c r="A107" s="29" t="str">
        <f t="shared" si="10"/>
        <v>06 - JUN - 26 / 03/06 - QUA</v>
      </c>
      <c r="B107" s="30" t="s">
        <v>340</v>
      </c>
      <c r="C107" s="30" t="s">
        <v>86</v>
      </c>
      <c r="D107" s="35" t="s">
        <v>316</v>
      </c>
      <c r="E107" s="35" t="s">
        <v>316</v>
      </c>
      <c r="F107" s="46">
        <v>1888.0</v>
      </c>
      <c r="G107" s="33" t="s">
        <v>341</v>
      </c>
      <c r="H107" s="36" t="s">
        <v>342</v>
      </c>
      <c r="I107" s="44">
        <v>46059.0</v>
      </c>
    </row>
    <row r="108" ht="15.75" customHeight="1">
      <c r="A108" s="29" t="str">
        <f t="shared" si="10"/>
        <v>06 - JUN - 26 / 03/06 - QUA</v>
      </c>
      <c r="B108" s="30" t="s">
        <v>343</v>
      </c>
      <c r="C108" s="30" t="s">
        <v>86</v>
      </c>
      <c r="D108" s="35" t="s">
        <v>316</v>
      </c>
      <c r="E108" s="35" t="s">
        <v>316</v>
      </c>
      <c r="F108" s="46">
        <v>1888.0</v>
      </c>
      <c r="G108" s="33" t="s">
        <v>344</v>
      </c>
      <c r="H108" s="36" t="s">
        <v>345</v>
      </c>
      <c r="I108" s="44">
        <v>46059.0</v>
      </c>
    </row>
    <row r="109" ht="15.75" customHeight="1">
      <c r="A109" s="49" t="str">
        <f t="shared" ref="A109:A118" si="11">HYPERLINK("https://drive.google.com/drive/folders/1S7YA3Of_C2p5sbHbDeaOqkjyEQY9bx0b", "06 - JUN - 26 / 02/06 - TER")</f>
        <v>06 - JUN - 26 / 02/06 - TER</v>
      </c>
      <c r="B109" s="38" t="s">
        <v>346</v>
      </c>
      <c r="C109" s="38" t="s">
        <v>86</v>
      </c>
      <c r="D109" s="43" t="s">
        <v>315</v>
      </c>
      <c r="E109" s="43" t="s">
        <v>316</v>
      </c>
      <c r="F109" s="39"/>
      <c r="G109" s="41" t="s">
        <v>347</v>
      </c>
      <c r="H109" s="42" t="s">
        <v>348</v>
      </c>
      <c r="I109" s="48">
        <v>46059.0</v>
      </c>
    </row>
    <row r="110" ht="15.75" customHeight="1">
      <c r="A110" s="29" t="str">
        <f t="shared" si="11"/>
        <v>06 - JUN - 26 / 02/06 - TER</v>
      </c>
      <c r="B110" s="30" t="s">
        <v>349</v>
      </c>
      <c r="C110" s="30" t="s">
        <v>86</v>
      </c>
      <c r="D110" s="35" t="s">
        <v>315</v>
      </c>
      <c r="E110" s="35" t="s">
        <v>316</v>
      </c>
      <c r="F110" s="32"/>
      <c r="G110" s="33" t="s">
        <v>350</v>
      </c>
      <c r="H110" s="36" t="s">
        <v>351</v>
      </c>
      <c r="I110" s="44">
        <v>46059.0</v>
      </c>
    </row>
    <row r="111" ht="15.75" customHeight="1">
      <c r="A111" s="50" t="str">
        <f t="shared" si="11"/>
        <v>06 - JUN - 26 / 02/06 - TER</v>
      </c>
      <c r="B111" s="30" t="s">
        <v>352</v>
      </c>
      <c r="C111" s="30" t="s">
        <v>86</v>
      </c>
      <c r="D111" s="35" t="s">
        <v>315</v>
      </c>
      <c r="E111" s="35" t="s">
        <v>316</v>
      </c>
      <c r="F111" s="31"/>
      <c r="G111" s="33" t="s">
        <v>353</v>
      </c>
      <c r="H111" s="36" t="s">
        <v>354</v>
      </c>
      <c r="I111" s="44">
        <v>46059.0</v>
      </c>
    </row>
    <row r="112" ht="15.75" customHeight="1">
      <c r="A112" s="29" t="str">
        <f t="shared" si="11"/>
        <v>06 - JUN - 26 / 02/06 - TER</v>
      </c>
      <c r="B112" s="30" t="s">
        <v>355</v>
      </c>
      <c r="C112" s="30" t="s">
        <v>86</v>
      </c>
      <c r="D112" s="35" t="s">
        <v>315</v>
      </c>
      <c r="E112" s="35" t="s">
        <v>316</v>
      </c>
      <c r="F112" s="32"/>
      <c r="G112" s="33" t="s">
        <v>356</v>
      </c>
      <c r="H112" s="36" t="s">
        <v>357</v>
      </c>
      <c r="I112" s="44">
        <v>46059.0</v>
      </c>
    </row>
    <row r="113" ht="15.75" customHeight="1">
      <c r="A113" s="29" t="str">
        <f t="shared" si="11"/>
        <v>06 - JUN - 26 / 02/06 - TER</v>
      </c>
      <c r="B113" s="30" t="s">
        <v>358</v>
      </c>
      <c r="C113" s="30" t="s">
        <v>86</v>
      </c>
      <c r="D113" s="35" t="s">
        <v>315</v>
      </c>
      <c r="E113" s="35" t="s">
        <v>316</v>
      </c>
      <c r="F113" s="32"/>
      <c r="G113" s="33" t="s">
        <v>359</v>
      </c>
      <c r="H113" s="36" t="s">
        <v>360</v>
      </c>
      <c r="I113" s="44">
        <v>46059.0</v>
      </c>
    </row>
    <row r="114" ht="15.75" customHeight="1">
      <c r="A114" s="29" t="str">
        <f t="shared" si="11"/>
        <v>06 - JUN - 26 / 02/06 - TER</v>
      </c>
      <c r="B114" s="30" t="s">
        <v>361</v>
      </c>
      <c r="C114" s="30" t="s">
        <v>86</v>
      </c>
      <c r="D114" s="35" t="s">
        <v>316</v>
      </c>
      <c r="E114" s="35" t="s">
        <v>316</v>
      </c>
      <c r="F114" s="32"/>
      <c r="G114" s="33" t="s">
        <v>362</v>
      </c>
      <c r="H114" s="36" t="s">
        <v>363</v>
      </c>
      <c r="I114" s="44">
        <v>46059.0</v>
      </c>
    </row>
    <row r="115" ht="15.75" customHeight="1">
      <c r="A115" s="29" t="str">
        <f t="shared" si="11"/>
        <v>06 - JUN - 26 / 02/06 - TER</v>
      </c>
      <c r="B115" s="30" t="s">
        <v>364</v>
      </c>
      <c r="C115" s="30" t="s">
        <v>86</v>
      </c>
      <c r="D115" s="35" t="s">
        <v>316</v>
      </c>
      <c r="E115" s="35" t="s">
        <v>316</v>
      </c>
      <c r="F115" s="32"/>
      <c r="G115" s="33" t="s">
        <v>365</v>
      </c>
      <c r="H115" s="36" t="s">
        <v>366</v>
      </c>
      <c r="I115" s="44">
        <v>46059.0</v>
      </c>
    </row>
    <row r="116" ht="15.75" customHeight="1">
      <c r="A116" s="50" t="str">
        <f t="shared" si="11"/>
        <v>06 - JUN - 26 / 02/06 - TER</v>
      </c>
      <c r="B116" s="30" t="s">
        <v>367</v>
      </c>
      <c r="C116" s="30" t="s">
        <v>86</v>
      </c>
      <c r="D116" s="35" t="s">
        <v>316</v>
      </c>
      <c r="E116" s="35" t="s">
        <v>316</v>
      </c>
      <c r="F116" s="31"/>
      <c r="G116" s="33" t="s">
        <v>368</v>
      </c>
      <c r="H116" s="36" t="s">
        <v>369</v>
      </c>
      <c r="I116" s="44">
        <v>46059.0</v>
      </c>
    </row>
    <row r="117" ht="15.75" customHeight="1">
      <c r="A117" s="50" t="str">
        <f t="shared" si="11"/>
        <v>06 - JUN - 26 / 02/06 - TER</v>
      </c>
      <c r="B117" s="30" t="s">
        <v>370</v>
      </c>
      <c r="C117" s="30" t="s">
        <v>86</v>
      </c>
      <c r="D117" s="35" t="s">
        <v>316</v>
      </c>
      <c r="E117" s="35" t="s">
        <v>316</v>
      </c>
      <c r="F117" s="31"/>
      <c r="G117" s="33" t="s">
        <v>371</v>
      </c>
      <c r="H117" s="36" t="s">
        <v>372</v>
      </c>
      <c r="I117" s="44">
        <v>46059.0</v>
      </c>
    </row>
    <row r="118" ht="15.75" customHeight="1">
      <c r="A118" s="50" t="str">
        <f t="shared" si="11"/>
        <v>06 - JUN - 26 / 02/06 - TER</v>
      </c>
      <c r="B118" s="30" t="s">
        <v>373</v>
      </c>
      <c r="C118" s="30" t="s">
        <v>86</v>
      </c>
      <c r="D118" s="35" t="s">
        <v>316</v>
      </c>
      <c r="E118" s="35" t="s">
        <v>316</v>
      </c>
      <c r="F118" s="31"/>
      <c r="G118" s="33" t="s">
        <v>374</v>
      </c>
      <c r="H118" s="36" t="s">
        <v>375</v>
      </c>
      <c r="I118" s="44">
        <v>46059.0</v>
      </c>
    </row>
    <row r="119" ht="15.75" customHeight="1">
      <c r="A119" s="37" t="str">
        <f t="shared" ref="A119:A128" si="12">HYPERLINK("https://drive.google.com/drive/folders/1llrDyutqm_HTD8xBuAp7yib4EbDSm1AR", "06 - JUN - 26 / 01/06 - SEG")</f>
        <v>06 - JUN - 26 / 01/06 - SEG</v>
      </c>
      <c r="B119" s="38" t="s">
        <v>376</v>
      </c>
      <c r="C119" s="38" t="s">
        <v>86</v>
      </c>
      <c r="D119" s="43" t="s">
        <v>377</v>
      </c>
      <c r="E119" s="43" t="s">
        <v>378</v>
      </c>
      <c r="F119" s="40"/>
      <c r="G119" s="41" t="s">
        <v>379</v>
      </c>
      <c r="H119" s="42" t="s">
        <v>380</v>
      </c>
      <c r="I119" s="48">
        <v>46028.0</v>
      </c>
    </row>
    <row r="120" ht="15.75" customHeight="1">
      <c r="A120" s="29" t="str">
        <f t="shared" si="12"/>
        <v>06 - JUN - 26 / 01/06 - SEG</v>
      </c>
      <c r="B120" s="30" t="s">
        <v>381</v>
      </c>
      <c r="C120" s="30" t="s">
        <v>86</v>
      </c>
      <c r="D120" s="35" t="s">
        <v>377</v>
      </c>
      <c r="E120" s="35" t="s">
        <v>378</v>
      </c>
      <c r="F120" s="32"/>
      <c r="G120" s="33" t="s">
        <v>382</v>
      </c>
      <c r="H120" s="36" t="s">
        <v>383</v>
      </c>
      <c r="I120" s="44">
        <v>46028.0</v>
      </c>
    </row>
    <row r="121" ht="15.75" customHeight="1">
      <c r="A121" s="29" t="str">
        <f t="shared" si="12"/>
        <v>06 - JUN - 26 / 01/06 - SEG</v>
      </c>
      <c r="B121" s="30" t="s">
        <v>384</v>
      </c>
      <c r="C121" s="30" t="s">
        <v>86</v>
      </c>
      <c r="D121" s="35" t="s">
        <v>377</v>
      </c>
      <c r="E121" s="35" t="s">
        <v>378</v>
      </c>
      <c r="F121" s="32"/>
      <c r="G121" s="33" t="s">
        <v>385</v>
      </c>
      <c r="H121" s="36" t="s">
        <v>386</v>
      </c>
      <c r="I121" s="44">
        <v>46028.0</v>
      </c>
    </row>
    <row r="122" ht="15.75" customHeight="1">
      <c r="A122" s="29" t="str">
        <f t="shared" si="12"/>
        <v>06 - JUN - 26 / 01/06 - SEG</v>
      </c>
      <c r="B122" s="30" t="s">
        <v>387</v>
      </c>
      <c r="C122" s="30" t="s">
        <v>86</v>
      </c>
      <c r="D122" s="35" t="s">
        <v>377</v>
      </c>
      <c r="E122" s="35" t="s">
        <v>378</v>
      </c>
      <c r="F122" s="32"/>
      <c r="G122" s="33" t="s">
        <v>388</v>
      </c>
      <c r="H122" s="36" t="s">
        <v>389</v>
      </c>
      <c r="I122" s="44">
        <v>46028.0</v>
      </c>
    </row>
    <row r="123" ht="15.75" customHeight="1">
      <c r="A123" s="29" t="str">
        <f t="shared" si="12"/>
        <v>06 - JUN - 26 / 01/06 - SEG</v>
      </c>
      <c r="B123" s="30" t="s">
        <v>390</v>
      </c>
      <c r="C123" s="30" t="s">
        <v>86</v>
      </c>
      <c r="D123" s="35" t="s">
        <v>377</v>
      </c>
      <c r="E123" s="35" t="s">
        <v>378</v>
      </c>
      <c r="F123" s="32"/>
      <c r="G123" s="33" t="s">
        <v>391</v>
      </c>
      <c r="H123" s="36" t="s">
        <v>392</v>
      </c>
      <c r="I123" s="44">
        <v>46028.0</v>
      </c>
    </row>
    <row r="124" ht="15.75" customHeight="1">
      <c r="A124" s="29" t="str">
        <f t="shared" si="12"/>
        <v>06 - JUN - 26 / 01/06 - SEG</v>
      </c>
      <c r="B124" s="30" t="s">
        <v>393</v>
      </c>
      <c r="C124" s="30" t="s">
        <v>86</v>
      </c>
      <c r="D124" s="35" t="s">
        <v>377</v>
      </c>
      <c r="E124" s="35" t="s">
        <v>378</v>
      </c>
      <c r="F124" s="32"/>
      <c r="G124" s="33" t="s">
        <v>394</v>
      </c>
      <c r="H124" s="36" t="s">
        <v>395</v>
      </c>
      <c r="I124" s="44">
        <v>46028.0</v>
      </c>
    </row>
    <row r="125" ht="15.75" customHeight="1">
      <c r="A125" s="50" t="str">
        <f t="shared" si="12"/>
        <v>06 - JUN - 26 / 01/06 - SEG</v>
      </c>
      <c r="B125" s="30" t="s">
        <v>396</v>
      </c>
      <c r="C125" s="30" t="s">
        <v>86</v>
      </c>
      <c r="D125" s="35" t="s">
        <v>377</v>
      </c>
      <c r="E125" s="35" t="s">
        <v>378</v>
      </c>
      <c r="F125" s="31"/>
      <c r="G125" s="33" t="s">
        <v>397</v>
      </c>
      <c r="H125" s="36" t="s">
        <v>398</v>
      </c>
      <c r="I125" s="44">
        <v>46028.0</v>
      </c>
    </row>
    <row r="126" ht="15.75" customHeight="1">
      <c r="A126" s="29" t="str">
        <f t="shared" si="12"/>
        <v>06 - JUN - 26 / 01/06 - SEG</v>
      </c>
      <c r="B126" s="30" t="s">
        <v>399</v>
      </c>
      <c r="C126" s="30" t="s">
        <v>86</v>
      </c>
      <c r="D126" s="35" t="s">
        <v>377</v>
      </c>
      <c r="E126" s="35" t="s">
        <v>378</v>
      </c>
      <c r="F126" s="32"/>
      <c r="G126" s="33" t="s">
        <v>400</v>
      </c>
      <c r="H126" s="36" t="s">
        <v>401</v>
      </c>
      <c r="I126" s="44">
        <v>46028.0</v>
      </c>
    </row>
    <row r="127" ht="15.75" customHeight="1">
      <c r="A127" s="29" t="str">
        <f t="shared" si="12"/>
        <v>06 - JUN - 26 / 01/06 - SEG</v>
      </c>
      <c r="B127" s="30" t="s">
        <v>402</v>
      </c>
      <c r="C127" s="30" t="s">
        <v>86</v>
      </c>
      <c r="D127" s="35" t="s">
        <v>377</v>
      </c>
      <c r="E127" s="35" t="s">
        <v>378</v>
      </c>
      <c r="F127" s="32"/>
      <c r="G127" s="33" t="s">
        <v>403</v>
      </c>
      <c r="H127" s="36" t="s">
        <v>404</v>
      </c>
      <c r="I127" s="44">
        <v>46028.0</v>
      </c>
    </row>
    <row r="128" ht="15.75" customHeight="1">
      <c r="A128" s="29" t="str">
        <f t="shared" si="12"/>
        <v>06 - JUN - 26 / 01/06 - SEG</v>
      </c>
      <c r="B128" s="30" t="s">
        <v>405</v>
      </c>
      <c r="C128" s="30" t="s">
        <v>86</v>
      </c>
      <c r="D128" s="35" t="s">
        <v>377</v>
      </c>
      <c r="E128" s="35" t="s">
        <v>378</v>
      </c>
      <c r="F128" s="32"/>
      <c r="G128" s="33" t="s">
        <v>406</v>
      </c>
      <c r="H128" s="36" t="s">
        <v>407</v>
      </c>
      <c r="I128" s="35" t="s">
        <v>408</v>
      </c>
    </row>
    <row r="129" ht="15.75" customHeight="1">
      <c r="A129" s="14"/>
      <c r="B129" s="14"/>
      <c r="C129" s="14"/>
      <c r="D129" s="32"/>
      <c r="E129" s="32"/>
      <c r="F129" s="32"/>
      <c r="G129" s="51"/>
      <c r="H129" s="32"/>
      <c r="I129" s="52"/>
    </row>
    <row r="130" ht="15.75" customHeight="1">
      <c r="A130" s="53" t="s">
        <v>409</v>
      </c>
    </row>
    <row r="131" ht="15.75" customHeight="1">
      <c r="A131" s="14"/>
      <c r="B131" s="14"/>
      <c r="C131" s="14"/>
      <c r="D131" s="14"/>
      <c r="E131" s="14"/>
      <c r="F131" s="14"/>
      <c r="G131" s="14"/>
      <c r="H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</row>
  </sheetData>
  <mergeCells count="2">
    <mergeCell ref="A1:G1"/>
    <mergeCell ref="A130:I130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8"/>
    <hyperlink r:id="rId34" ref="H39"/>
    <hyperlink r:id="rId35" ref="H40"/>
    <hyperlink r:id="rId36" ref="H41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6"/>
    <hyperlink r:id="rId52" ref="H57"/>
    <hyperlink r:id="rId53" ref="H58"/>
    <hyperlink r:id="rId54" ref="H59"/>
    <hyperlink r:id="rId55" ref="H60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0"/>
    <hyperlink r:id="rId66" ref="H71"/>
    <hyperlink r:id="rId67" ref="H72"/>
    <hyperlink r:id="rId68" ref="H73"/>
    <hyperlink r:id="rId69" ref="H74"/>
    <hyperlink r:id="rId70" ref="H75"/>
    <hyperlink r:id="rId71" ref="H76"/>
    <hyperlink r:id="rId72" ref="H77"/>
    <hyperlink r:id="rId73" ref="H78"/>
    <hyperlink r:id="rId74" ref="H79"/>
    <hyperlink r:id="rId75" ref="H80"/>
    <hyperlink r:id="rId76" ref="H81"/>
    <hyperlink r:id="rId77" ref="H82"/>
    <hyperlink r:id="rId78" ref="H83"/>
    <hyperlink r:id="rId79" ref="H84"/>
    <hyperlink r:id="rId80" ref="H85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</hyperlinks>
  <printOptions/>
  <pageMargins bottom="1.0" footer="0.0" header="0.0" left="0.75" right="0.75" top="1.0"/>
  <pageSetup orientation="landscape"/>
  <drawing r:id="rId1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75"/>
    <col customWidth="1" min="2" max="2" width="48.75"/>
    <col customWidth="1" min="3" max="3" width="9.38"/>
    <col customWidth="1" min="4" max="4" width="15.88"/>
    <col customWidth="1" min="5" max="5" width="13.63"/>
    <col customWidth="1" min="6" max="6" width="11.63"/>
    <col customWidth="1" min="7" max="7" width="66.63"/>
    <col customWidth="1" min="8" max="8" width="48.63"/>
  </cols>
  <sheetData>
    <row r="1" ht="15.75" customHeight="1">
      <c r="A1" s="16" t="str">
        <f>"MAIO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MAIO DE 2026   •   RED [ ██████████ 100% ]   •   EDIT [ ██████████ 100% ]</v>
      </c>
      <c r="H1" s="17" t="s">
        <v>13</v>
      </c>
      <c r="I1" s="18" t="s">
        <v>14</v>
      </c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</row>
    <row r="3" ht="15.75" customHeight="1">
      <c r="A3" s="20">
        <v>11.0</v>
      </c>
      <c r="B3" s="21">
        <v>201.0</v>
      </c>
      <c r="C3" s="22">
        <f>COUNTA(B6:B1000)</f>
        <v>201</v>
      </c>
      <c r="D3" s="23">
        <f>COUNTIF(E6:E1000, "*✔*")</f>
        <v>201</v>
      </c>
      <c r="E3" s="24">
        <f>C3-D3</f>
        <v>0</v>
      </c>
      <c r="F3" s="25">
        <f>MAX(0, B3-C3)</f>
        <v>0</v>
      </c>
      <c r="G3" s="26">
        <f>739 + C3</f>
        <v>940</v>
      </c>
      <c r="H3" s="27"/>
    </row>
    <row r="4" ht="15.75" customHeight="1">
      <c r="A4" s="14"/>
      <c r="B4" s="14"/>
      <c r="C4" s="14"/>
      <c r="D4" s="14"/>
      <c r="E4" s="14"/>
      <c r="F4" s="14"/>
      <c r="G4" s="14"/>
      <c r="H4" s="14"/>
    </row>
    <row r="5" ht="15.75" customHeight="1">
      <c r="A5" s="54" t="s">
        <v>22</v>
      </c>
      <c r="B5" s="54" t="s">
        <v>23</v>
      </c>
      <c r="C5" s="54" t="s">
        <v>24</v>
      </c>
      <c r="D5" s="54" t="s">
        <v>25</v>
      </c>
      <c r="E5" s="54" t="s">
        <v>26</v>
      </c>
      <c r="F5" s="54" t="s">
        <v>27</v>
      </c>
      <c r="G5" s="54" t="s">
        <v>28</v>
      </c>
      <c r="H5" s="54" t="s">
        <v>29</v>
      </c>
      <c r="I5" s="54" t="s">
        <v>30</v>
      </c>
    </row>
    <row r="6" ht="15.75" customHeight="1">
      <c r="A6" s="55" t="s">
        <v>410</v>
      </c>
      <c r="B6" s="55"/>
      <c r="C6" s="55"/>
      <c r="D6" s="56"/>
      <c r="E6" s="56"/>
      <c r="F6" s="56"/>
      <c r="G6" s="57"/>
      <c r="H6" s="56"/>
      <c r="I6" s="58"/>
    </row>
    <row r="7" ht="15.75" customHeight="1">
      <c r="A7" s="55" t="s">
        <v>411</v>
      </c>
      <c r="B7" s="55"/>
      <c r="C7" s="55"/>
      <c r="D7" s="56"/>
      <c r="E7" s="56"/>
      <c r="F7" s="56"/>
      <c r="G7" s="57"/>
      <c r="H7" s="56"/>
      <c r="I7" s="58"/>
    </row>
    <row r="8" ht="15.75" customHeight="1">
      <c r="A8" s="55" t="s">
        <v>412</v>
      </c>
      <c r="B8" s="55"/>
      <c r="C8" s="55"/>
      <c r="D8" s="56"/>
      <c r="E8" s="56"/>
      <c r="F8" s="56"/>
      <c r="G8" s="57"/>
      <c r="H8" s="56"/>
      <c r="I8" s="58"/>
    </row>
    <row r="9" ht="15.75" customHeight="1">
      <c r="A9" s="55" t="s">
        <v>413</v>
      </c>
      <c r="B9" s="55"/>
      <c r="C9" s="55"/>
      <c r="D9" s="56"/>
      <c r="E9" s="56"/>
      <c r="F9" s="56"/>
      <c r="G9" s="57"/>
      <c r="H9" s="56"/>
      <c r="I9" s="58"/>
    </row>
    <row r="10" ht="15.75" customHeight="1">
      <c r="A10" s="59" t="s">
        <v>414</v>
      </c>
      <c r="B10" s="59"/>
      <c r="C10" s="59"/>
      <c r="D10" s="60"/>
      <c r="E10" s="60"/>
      <c r="F10" s="60"/>
      <c r="G10" s="61"/>
      <c r="H10" s="60"/>
      <c r="I10" s="62"/>
    </row>
    <row r="11" ht="15.75" customHeight="1">
      <c r="A11" s="55" t="s">
        <v>415</v>
      </c>
      <c r="B11" s="55"/>
      <c r="C11" s="55"/>
      <c r="D11" s="56"/>
      <c r="E11" s="56"/>
      <c r="F11" s="56"/>
      <c r="G11" s="57"/>
      <c r="H11" s="56"/>
      <c r="I11" s="58"/>
    </row>
    <row r="12" ht="15.75" customHeight="1">
      <c r="A12" s="55" t="s">
        <v>416</v>
      </c>
      <c r="B12" s="55"/>
      <c r="C12" s="55"/>
      <c r="D12" s="56"/>
      <c r="E12" s="56"/>
      <c r="F12" s="56"/>
      <c r="G12" s="57"/>
      <c r="H12" s="56"/>
      <c r="I12" s="58"/>
    </row>
    <row r="13" ht="15.75" customHeight="1">
      <c r="A13" s="55" t="s">
        <v>417</v>
      </c>
      <c r="B13" s="55"/>
      <c r="C13" s="55"/>
      <c r="D13" s="56"/>
      <c r="E13" s="56"/>
      <c r="F13" s="56"/>
      <c r="G13" s="57"/>
      <c r="H13" s="56"/>
      <c r="I13" s="58"/>
    </row>
    <row r="14" ht="15.75" customHeight="1">
      <c r="A14" s="55" t="s">
        <v>418</v>
      </c>
      <c r="B14" s="55"/>
      <c r="C14" s="55"/>
      <c r="D14" s="56"/>
      <c r="E14" s="56"/>
      <c r="F14" s="56"/>
      <c r="G14" s="57"/>
      <c r="H14" s="56"/>
      <c r="I14" s="58"/>
    </row>
    <row r="15" ht="15.75" customHeight="1">
      <c r="A15" s="55" t="s">
        <v>419</v>
      </c>
      <c r="B15" s="55"/>
      <c r="C15" s="55"/>
      <c r="D15" s="56"/>
      <c r="E15" s="56"/>
      <c r="F15" s="56"/>
      <c r="G15" s="57"/>
      <c r="H15" s="56"/>
      <c r="I15" s="58"/>
    </row>
    <row r="16" ht="15.75" customHeight="1">
      <c r="A16" s="55" t="s">
        <v>420</v>
      </c>
      <c r="B16" s="55"/>
      <c r="C16" s="55"/>
      <c r="D16" s="56"/>
      <c r="E16" s="56"/>
      <c r="F16" s="56"/>
      <c r="G16" s="57"/>
      <c r="H16" s="56"/>
      <c r="I16" s="58"/>
    </row>
    <row r="17" ht="15.75" customHeight="1">
      <c r="A17" s="55" t="s">
        <v>421</v>
      </c>
      <c r="B17" s="55"/>
      <c r="C17" s="55"/>
      <c r="D17" s="56"/>
      <c r="E17" s="56"/>
      <c r="F17" s="56"/>
      <c r="G17" s="57"/>
      <c r="H17" s="56"/>
      <c r="I17" s="58"/>
    </row>
    <row r="18" ht="15.75" customHeight="1">
      <c r="A18" s="55" t="s">
        <v>422</v>
      </c>
      <c r="B18" s="55"/>
      <c r="C18" s="55"/>
      <c r="D18" s="56"/>
      <c r="E18" s="56"/>
      <c r="F18" s="56"/>
      <c r="G18" s="57"/>
      <c r="H18" s="56"/>
      <c r="I18" s="58"/>
    </row>
    <row r="19" ht="15.75" customHeight="1">
      <c r="A19" s="55" t="s">
        <v>423</v>
      </c>
      <c r="B19" s="55"/>
      <c r="C19" s="55"/>
      <c r="D19" s="56"/>
      <c r="E19" s="56"/>
      <c r="F19" s="56"/>
      <c r="G19" s="57"/>
      <c r="H19" s="56"/>
      <c r="I19" s="58"/>
    </row>
    <row r="20" ht="15.75" customHeight="1">
      <c r="A20" s="55" t="s">
        <v>424</v>
      </c>
      <c r="B20" s="55"/>
      <c r="C20" s="55"/>
      <c r="D20" s="56"/>
      <c r="E20" s="56"/>
      <c r="F20" s="56"/>
      <c r="G20" s="57"/>
      <c r="H20" s="56"/>
      <c r="I20" s="58"/>
    </row>
    <row r="21" ht="15.75" customHeight="1">
      <c r="A21" s="59" t="s">
        <v>425</v>
      </c>
      <c r="B21" s="59"/>
      <c r="C21" s="59"/>
      <c r="D21" s="60"/>
      <c r="E21" s="60"/>
      <c r="F21" s="60"/>
      <c r="G21" s="61"/>
      <c r="H21" s="60"/>
      <c r="I21" s="62"/>
    </row>
    <row r="22" ht="15.75" customHeight="1">
      <c r="A22" s="55" t="s">
        <v>426</v>
      </c>
      <c r="B22" s="55"/>
      <c r="C22" s="55"/>
      <c r="D22" s="56"/>
      <c r="E22" s="56"/>
      <c r="F22" s="56"/>
      <c r="G22" s="57"/>
      <c r="H22" s="56"/>
      <c r="I22" s="58"/>
    </row>
    <row r="23" ht="15.75" customHeight="1">
      <c r="A23" s="55" t="s">
        <v>427</v>
      </c>
      <c r="B23" s="55"/>
      <c r="C23" s="55"/>
      <c r="D23" s="56"/>
      <c r="E23" s="56"/>
      <c r="F23" s="56"/>
      <c r="G23" s="57"/>
      <c r="H23" s="56"/>
      <c r="I23" s="58"/>
    </row>
    <row r="24" ht="15.75" customHeight="1">
      <c r="A24" s="55" t="s">
        <v>428</v>
      </c>
      <c r="B24" s="55"/>
      <c r="C24" s="55"/>
      <c r="D24" s="56"/>
      <c r="E24" s="56"/>
      <c r="F24" s="56"/>
      <c r="G24" s="57"/>
      <c r="H24" s="56"/>
      <c r="I24" s="58"/>
    </row>
    <row r="25" ht="15.75" customHeight="1">
      <c r="A25" s="55" t="s">
        <v>429</v>
      </c>
      <c r="B25" s="55"/>
      <c r="C25" s="55"/>
      <c r="D25" s="56"/>
      <c r="E25" s="56"/>
      <c r="F25" s="56"/>
      <c r="G25" s="57"/>
      <c r="H25" s="56"/>
      <c r="I25" s="58"/>
    </row>
    <row r="26" ht="15.75" customHeight="1">
      <c r="A26" s="55" t="s">
        <v>430</v>
      </c>
      <c r="B26" s="55"/>
      <c r="C26" s="55"/>
      <c r="D26" s="56"/>
      <c r="E26" s="56"/>
      <c r="F26" s="56"/>
      <c r="G26" s="57"/>
      <c r="H26" s="56"/>
      <c r="I26" s="58"/>
    </row>
    <row r="27" ht="15.75" customHeight="1">
      <c r="A27" s="55" t="s">
        <v>431</v>
      </c>
      <c r="B27" s="55"/>
      <c r="C27" s="55"/>
      <c r="D27" s="56"/>
      <c r="E27" s="56"/>
      <c r="F27" s="56"/>
      <c r="G27" s="57"/>
      <c r="H27" s="56"/>
      <c r="I27" s="58"/>
    </row>
    <row r="28" ht="15.75" customHeight="1">
      <c r="A28" s="55" t="s">
        <v>432</v>
      </c>
      <c r="B28" s="55"/>
      <c r="C28" s="55"/>
      <c r="D28" s="56"/>
      <c r="E28" s="56"/>
      <c r="F28" s="56"/>
      <c r="G28" s="57"/>
      <c r="H28" s="56"/>
      <c r="I28" s="58"/>
    </row>
    <row r="29" ht="15.75" customHeight="1">
      <c r="A29" s="55" t="s">
        <v>433</v>
      </c>
      <c r="B29" s="55"/>
      <c r="C29" s="55"/>
      <c r="D29" s="56"/>
      <c r="E29" s="56"/>
      <c r="F29" s="56"/>
      <c r="G29" s="57"/>
      <c r="H29" s="56"/>
      <c r="I29" s="58"/>
    </row>
    <row r="30" ht="15.75" customHeight="1">
      <c r="A30" s="55" t="s">
        <v>434</v>
      </c>
      <c r="B30" s="55"/>
      <c r="C30" s="55"/>
      <c r="D30" s="56"/>
      <c r="E30" s="56"/>
      <c r="F30" s="56"/>
      <c r="G30" s="57"/>
      <c r="H30" s="56"/>
      <c r="I30" s="58"/>
    </row>
    <row r="31" ht="15.75" customHeight="1">
      <c r="A31" s="55" t="s">
        <v>435</v>
      </c>
      <c r="B31" s="55"/>
      <c r="C31" s="55"/>
      <c r="D31" s="56"/>
      <c r="E31" s="56"/>
      <c r="F31" s="56"/>
      <c r="G31" s="57"/>
      <c r="H31" s="56"/>
      <c r="I31" s="58"/>
    </row>
    <row r="32" ht="15.75" customHeight="1">
      <c r="A32" s="59" t="s">
        <v>436</v>
      </c>
      <c r="B32" s="59"/>
      <c r="C32" s="59"/>
      <c r="D32" s="60"/>
      <c r="E32" s="60"/>
      <c r="F32" s="60"/>
      <c r="G32" s="61"/>
      <c r="H32" s="60"/>
      <c r="I32" s="62"/>
    </row>
    <row r="33" ht="15.75" customHeight="1">
      <c r="A33" s="55" t="s">
        <v>437</v>
      </c>
      <c r="B33" s="55"/>
      <c r="C33" s="55"/>
      <c r="D33" s="56"/>
      <c r="E33" s="56"/>
      <c r="F33" s="56"/>
      <c r="G33" s="57"/>
      <c r="H33" s="56"/>
      <c r="I33" s="58"/>
    </row>
    <row r="34" ht="15.75" customHeight="1">
      <c r="A34" s="55" t="s">
        <v>438</v>
      </c>
      <c r="B34" s="55"/>
      <c r="C34" s="55"/>
      <c r="D34" s="56"/>
      <c r="E34" s="56"/>
      <c r="F34" s="56"/>
      <c r="G34" s="57"/>
      <c r="H34" s="56"/>
      <c r="I34" s="58"/>
    </row>
    <row r="35" ht="15.75" customHeight="1">
      <c r="A35" s="55" t="s">
        <v>439</v>
      </c>
      <c r="B35" s="55"/>
      <c r="C35" s="55"/>
      <c r="D35" s="56"/>
      <c r="E35" s="56"/>
      <c r="F35" s="56"/>
      <c r="G35" s="57"/>
      <c r="H35" s="56"/>
      <c r="I35" s="58"/>
    </row>
    <row r="36" ht="15.75" customHeight="1">
      <c r="A36" s="55" t="s">
        <v>440</v>
      </c>
      <c r="B36" s="55"/>
      <c r="C36" s="55"/>
      <c r="D36" s="56"/>
      <c r="E36" s="56"/>
      <c r="F36" s="56"/>
      <c r="G36" s="57"/>
      <c r="H36" s="56"/>
      <c r="I36" s="58"/>
    </row>
    <row r="37" ht="15.75" customHeight="1">
      <c r="A37" s="55" t="s">
        <v>441</v>
      </c>
      <c r="B37" s="55"/>
      <c r="C37" s="55"/>
      <c r="D37" s="56"/>
      <c r="E37" s="56"/>
      <c r="F37" s="56"/>
      <c r="G37" s="57"/>
      <c r="H37" s="56"/>
      <c r="I37" s="58"/>
    </row>
    <row r="38" ht="15.75" customHeight="1">
      <c r="A38" s="55" t="s">
        <v>442</v>
      </c>
      <c r="B38" s="55"/>
      <c r="C38" s="55"/>
      <c r="D38" s="56"/>
      <c r="E38" s="56"/>
      <c r="F38" s="56"/>
      <c r="G38" s="57"/>
      <c r="H38" s="56"/>
      <c r="I38" s="58"/>
    </row>
    <row r="39" ht="15.75" customHeight="1">
      <c r="A39" s="59" t="s">
        <v>443</v>
      </c>
      <c r="B39" s="59"/>
      <c r="C39" s="59"/>
      <c r="D39" s="60"/>
      <c r="E39" s="60"/>
      <c r="F39" s="60"/>
      <c r="G39" s="61"/>
      <c r="H39" s="60"/>
      <c r="I39" s="62"/>
    </row>
    <row r="40" ht="15.75" customHeight="1">
      <c r="A40" s="55" t="s">
        <v>444</v>
      </c>
      <c r="B40" s="55"/>
      <c r="C40" s="55"/>
      <c r="D40" s="56"/>
      <c r="E40" s="56"/>
      <c r="F40" s="56"/>
      <c r="G40" s="57"/>
      <c r="H40" s="56"/>
      <c r="I40" s="58"/>
    </row>
    <row r="41" ht="15.75" customHeight="1">
      <c r="A41" s="55" t="s">
        <v>445</v>
      </c>
      <c r="B41" s="55"/>
      <c r="C41" s="55"/>
      <c r="D41" s="56"/>
      <c r="E41" s="56"/>
      <c r="F41" s="56"/>
      <c r="G41" s="57"/>
      <c r="H41" s="56"/>
      <c r="I41" s="58"/>
    </row>
    <row r="42" ht="15.75" customHeight="1">
      <c r="A42" s="55" t="s">
        <v>446</v>
      </c>
      <c r="B42" s="55"/>
      <c r="C42" s="55"/>
      <c r="D42" s="56"/>
      <c r="E42" s="56"/>
      <c r="F42" s="56"/>
      <c r="G42" s="57"/>
      <c r="H42" s="56"/>
      <c r="I42" s="58"/>
    </row>
    <row r="43" ht="15.75" customHeight="1">
      <c r="A43" s="55" t="s">
        <v>447</v>
      </c>
      <c r="B43" s="55"/>
      <c r="C43" s="55"/>
      <c r="D43" s="56"/>
      <c r="E43" s="56"/>
      <c r="F43" s="56"/>
      <c r="G43" s="57"/>
      <c r="H43" s="56"/>
      <c r="I43" s="58"/>
    </row>
    <row r="44" ht="15.75" customHeight="1">
      <c r="A44" s="55" t="s">
        <v>448</v>
      </c>
      <c r="B44" s="55"/>
      <c r="C44" s="55"/>
      <c r="D44" s="56"/>
      <c r="E44" s="56"/>
      <c r="F44" s="56"/>
      <c r="G44" s="57"/>
      <c r="H44" s="56"/>
      <c r="I44" s="58"/>
    </row>
    <row r="45" ht="15.75" customHeight="1">
      <c r="A45" s="59" t="s">
        <v>449</v>
      </c>
      <c r="B45" s="59"/>
      <c r="C45" s="59"/>
      <c r="D45" s="60"/>
      <c r="E45" s="60"/>
      <c r="F45" s="60"/>
      <c r="G45" s="61"/>
      <c r="H45" s="60"/>
      <c r="I45" s="62"/>
    </row>
    <row r="46" ht="15.75" customHeight="1">
      <c r="A46" s="55" t="s">
        <v>450</v>
      </c>
      <c r="B46" s="55"/>
      <c r="C46" s="55"/>
      <c r="D46" s="56"/>
      <c r="E46" s="56"/>
      <c r="F46" s="56"/>
      <c r="G46" s="57"/>
      <c r="H46" s="56"/>
      <c r="I46" s="58"/>
    </row>
    <row r="47" ht="15.75" customHeight="1">
      <c r="A47" s="55" t="s">
        <v>451</v>
      </c>
      <c r="B47" s="55"/>
      <c r="C47" s="55"/>
      <c r="D47" s="56"/>
      <c r="E47" s="56"/>
      <c r="F47" s="56"/>
      <c r="G47" s="57"/>
      <c r="H47" s="56"/>
      <c r="I47" s="58"/>
    </row>
    <row r="48" ht="15.75" customHeight="1">
      <c r="A48" s="55" t="s">
        <v>452</v>
      </c>
      <c r="B48" s="55"/>
      <c r="C48" s="55"/>
      <c r="D48" s="56"/>
      <c r="E48" s="56"/>
      <c r="F48" s="56"/>
      <c r="G48" s="57"/>
      <c r="H48" s="56"/>
      <c r="I48" s="58"/>
    </row>
    <row r="49" ht="15.75" customHeight="1">
      <c r="A49" s="55" t="s">
        <v>453</v>
      </c>
      <c r="B49" s="55"/>
      <c r="C49" s="55"/>
      <c r="D49" s="56"/>
      <c r="E49" s="56"/>
      <c r="F49" s="56"/>
      <c r="G49" s="57"/>
      <c r="H49" s="56"/>
      <c r="I49" s="58"/>
    </row>
    <row r="50" ht="15.75" customHeight="1">
      <c r="A50" s="59" t="s">
        <v>454</v>
      </c>
      <c r="B50" s="59"/>
      <c r="C50" s="59"/>
      <c r="D50" s="60"/>
      <c r="E50" s="60"/>
      <c r="F50" s="60"/>
      <c r="G50" s="61"/>
      <c r="H50" s="60"/>
      <c r="I50" s="62"/>
    </row>
    <row r="51" ht="15.75" customHeight="1">
      <c r="A51" s="55" t="s">
        <v>455</v>
      </c>
      <c r="B51" s="55"/>
      <c r="C51" s="55"/>
      <c r="D51" s="56"/>
      <c r="E51" s="56"/>
      <c r="F51" s="56"/>
      <c r="G51" s="57"/>
      <c r="H51" s="56"/>
      <c r="I51" s="58"/>
    </row>
    <row r="52" ht="15.75" customHeight="1">
      <c r="A52" s="55" t="s">
        <v>456</v>
      </c>
      <c r="B52" s="55"/>
      <c r="C52" s="55"/>
      <c r="D52" s="56"/>
      <c r="E52" s="56"/>
      <c r="F52" s="56"/>
      <c r="G52" s="57"/>
      <c r="H52" s="56"/>
      <c r="I52" s="58"/>
    </row>
    <row r="53" ht="15.75" customHeight="1">
      <c r="A53" s="55" t="s">
        <v>457</v>
      </c>
      <c r="B53" s="55"/>
      <c r="C53" s="55"/>
      <c r="D53" s="56"/>
      <c r="E53" s="56"/>
      <c r="F53" s="56"/>
      <c r="G53" s="57"/>
      <c r="H53" s="56"/>
      <c r="I53" s="58"/>
    </row>
    <row r="54" ht="15.75" customHeight="1">
      <c r="A54" s="55" t="s">
        <v>458</v>
      </c>
      <c r="B54" s="55"/>
      <c r="C54" s="55"/>
      <c r="D54" s="56"/>
      <c r="E54" s="56"/>
      <c r="F54" s="56"/>
      <c r="G54" s="57"/>
      <c r="H54" s="56"/>
      <c r="I54" s="58"/>
    </row>
    <row r="55" ht="15.75" customHeight="1">
      <c r="A55" s="55" t="s">
        <v>459</v>
      </c>
      <c r="B55" s="55"/>
      <c r="C55" s="55"/>
      <c r="D55" s="56"/>
      <c r="E55" s="56"/>
      <c r="F55" s="56"/>
      <c r="G55" s="57"/>
      <c r="H55" s="56"/>
      <c r="I55" s="58"/>
    </row>
    <row r="56" ht="15.75" customHeight="1">
      <c r="A56" s="59" t="s">
        <v>460</v>
      </c>
      <c r="B56" s="59"/>
      <c r="C56" s="59"/>
      <c r="D56" s="60"/>
      <c r="E56" s="60"/>
      <c r="F56" s="60"/>
      <c r="G56" s="61"/>
      <c r="H56" s="60"/>
      <c r="I56" s="62"/>
    </row>
    <row r="57" ht="15.75" customHeight="1">
      <c r="A57" s="55" t="s">
        <v>461</v>
      </c>
      <c r="B57" s="55"/>
      <c r="C57" s="55"/>
      <c r="D57" s="56"/>
      <c r="E57" s="56"/>
      <c r="F57" s="56"/>
      <c r="G57" s="57"/>
      <c r="H57" s="56"/>
      <c r="I57" s="58"/>
    </row>
    <row r="58" ht="15.75" customHeight="1">
      <c r="A58" s="55" t="s">
        <v>462</v>
      </c>
      <c r="B58" s="55"/>
      <c r="C58" s="55"/>
      <c r="D58" s="56"/>
      <c r="E58" s="56"/>
      <c r="F58" s="56"/>
      <c r="G58" s="57"/>
      <c r="H58" s="56"/>
      <c r="I58" s="58"/>
    </row>
    <row r="59" ht="15.75" customHeight="1">
      <c r="A59" s="55" t="s">
        <v>463</v>
      </c>
      <c r="B59" s="55"/>
      <c r="C59" s="55"/>
      <c r="D59" s="56"/>
      <c r="E59" s="56"/>
      <c r="F59" s="56"/>
      <c r="G59" s="57"/>
      <c r="H59" s="56"/>
      <c r="I59" s="58"/>
    </row>
    <row r="60" ht="15.75" customHeight="1">
      <c r="A60" s="55" t="s">
        <v>464</v>
      </c>
      <c r="B60" s="55"/>
      <c r="C60" s="55"/>
      <c r="D60" s="56"/>
      <c r="E60" s="56"/>
      <c r="F60" s="56"/>
      <c r="G60" s="57"/>
      <c r="H60" s="56"/>
      <c r="I60" s="58"/>
    </row>
    <row r="61" ht="15.75" customHeight="1">
      <c r="A61" s="37" t="str">
        <f t="shared" ref="A61:A70" si="1">HYPERLINK("https://drive.google.com/drive/folders/1xfT04A1Tk0K_RKLeQMpnEdGSM45uGFW1", "05 - MAI - 26 / 29/05 - SEX")</f>
        <v>05 - MAI - 26 / 29/05 - SEX</v>
      </c>
      <c r="B61" s="59" t="s">
        <v>465</v>
      </c>
      <c r="C61" s="59" t="s">
        <v>86</v>
      </c>
      <c r="D61" s="60" t="s">
        <v>66</v>
      </c>
      <c r="E61" s="60" t="s">
        <v>66</v>
      </c>
      <c r="F61" s="60"/>
      <c r="G61" s="61" t="s">
        <v>466</v>
      </c>
      <c r="H61" s="63" t="s">
        <v>467</v>
      </c>
      <c r="I61" s="62">
        <v>46171.0</v>
      </c>
    </row>
    <row r="62" ht="15.75" customHeight="1">
      <c r="A62" s="29" t="str">
        <f t="shared" si="1"/>
        <v>05 - MAI - 26 / 29/05 - SEX</v>
      </c>
      <c r="B62" s="55" t="s">
        <v>468</v>
      </c>
      <c r="C62" s="55" t="s">
        <v>86</v>
      </c>
      <c r="D62" s="56" t="s">
        <v>66</v>
      </c>
      <c r="E62" s="56" t="s">
        <v>66</v>
      </c>
      <c r="F62" s="56">
        <v>1885.0</v>
      </c>
      <c r="G62" s="57" t="s">
        <v>469</v>
      </c>
      <c r="H62" s="64" t="s">
        <v>470</v>
      </c>
      <c r="I62" s="58">
        <v>46171.0</v>
      </c>
    </row>
    <row r="63" ht="15.75" customHeight="1">
      <c r="A63" s="29" t="str">
        <f t="shared" si="1"/>
        <v>05 - MAI - 26 / 29/05 - SEX</v>
      </c>
      <c r="B63" s="55" t="s">
        <v>471</v>
      </c>
      <c r="C63" s="55" t="s">
        <v>86</v>
      </c>
      <c r="D63" s="56" t="s">
        <v>66</v>
      </c>
      <c r="E63" s="56" t="s">
        <v>66</v>
      </c>
      <c r="F63" s="56"/>
      <c r="G63" s="57" t="s">
        <v>472</v>
      </c>
      <c r="H63" s="64" t="s">
        <v>473</v>
      </c>
      <c r="I63" s="58">
        <v>46170.0</v>
      </c>
    </row>
    <row r="64" ht="15.75" customHeight="1">
      <c r="A64" s="29" t="str">
        <f t="shared" si="1"/>
        <v>05 - MAI - 26 / 29/05 - SEX</v>
      </c>
      <c r="B64" s="55" t="s">
        <v>474</v>
      </c>
      <c r="C64" s="55" t="s">
        <v>86</v>
      </c>
      <c r="D64" s="56" t="s">
        <v>66</v>
      </c>
      <c r="E64" s="56" t="s">
        <v>66</v>
      </c>
      <c r="F64" s="56"/>
      <c r="G64" s="57" t="s">
        <v>475</v>
      </c>
      <c r="H64" s="64" t="s">
        <v>476</v>
      </c>
      <c r="I64" s="58">
        <v>46170.0</v>
      </c>
    </row>
    <row r="65" ht="15.75" customHeight="1">
      <c r="A65" s="29" t="str">
        <f t="shared" si="1"/>
        <v>05 - MAI - 26 / 29/05 - SEX</v>
      </c>
      <c r="B65" s="55" t="s">
        <v>477</v>
      </c>
      <c r="C65" s="55" t="s">
        <v>86</v>
      </c>
      <c r="D65" s="56" t="s">
        <v>66</v>
      </c>
      <c r="E65" s="56" t="s">
        <v>66</v>
      </c>
      <c r="F65" s="56"/>
      <c r="G65" s="57" t="s">
        <v>478</v>
      </c>
      <c r="H65" s="64" t="s">
        <v>479</v>
      </c>
      <c r="I65" s="58">
        <v>46170.0</v>
      </c>
    </row>
    <row r="66" ht="15.75" customHeight="1">
      <c r="A66" s="29" t="str">
        <f t="shared" si="1"/>
        <v>05 - MAI - 26 / 29/05 - SEX</v>
      </c>
      <c r="B66" s="55" t="s">
        <v>480</v>
      </c>
      <c r="C66" s="55" t="s">
        <v>86</v>
      </c>
      <c r="D66" s="56" t="s">
        <v>66</v>
      </c>
      <c r="E66" s="56" t="s">
        <v>66</v>
      </c>
      <c r="F66" s="56"/>
      <c r="G66" s="57" t="s">
        <v>481</v>
      </c>
      <c r="H66" s="64" t="s">
        <v>482</v>
      </c>
      <c r="I66" s="58">
        <v>46170.0</v>
      </c>
    </row>
    <row r="67" ht="15.75" customHeight="1">
      <c r="A67" s="29" t="str">
        <f t="shared" si="1"/>
        <v>05 - MAI - 26 / 29/05 - SEX</v>
      </c>
      <c r="B67" s="55" t="s">
        <v>483</v>
      </c>
      <c r="C67" s="55" t="s">
        <v>86</v>
      </c>
      <c r="D67" s="56" t="s">
        <v>66</v>
      </c>
      <c r="E67" s="56" t="s">
        <v>66</v>
      </c>
      <c r="F67" s="56">
        <v>1885.0</v>
      </c>
      <c r="G67" s="57" t="s">
        <v>484</v>
      </c>
      <c r="H67" s="64" t="s">
        <v>485</v>
      </c>
      <c r="I67" s="58">
        <v>46170.0</v>
      </c>
    </row>
    <row r="68" ht="15.75" customHeight="1">
      <c r="A68" s="29" t="str">
        <f t="shared" si="1"/>
        <v>05 - MAI - 26 / 29/05 - SEX</v>
      </c>
      <c r="B68" s="55" t="s">
        <v>486</v>
      </c>
      <c r="C68" s="55" t="s">
        <v>86</v>
      </c>
      <c r="D68" s="56" t="s">
        <v>66</v>
      </c>
      <c r="E68" s="56" t="s">
        <v>66</v>
      </c>
      <c r="F68" s="56">
        <v>1885.0</v>
      </c>
      <c r="G68" s="57" t="s">
        <v>487</v>
      </c>
      <c r="H68" s="64" t="s">
        <v>488</v>
      </c>
      <c r="I68" s="58">
        <v>46170.0</v>
      </c>
    </row>
    <row r="69" ht="15.75" customHeight="1">
      <c r="A69" s="29" t="str">
        <f t="shared" si="1"/>
        <v>05 - MAI - 26 / 29/05 - SEX</v>
      </c>
      <c r="B69" s="55" t="s">
        <v>489</v>
      </c>
      <c r="C69" s="55" t="s">
        <v>86</v>
      </c>
      <c r="D69" s="56" t="s">
        <v>66</v>
      </c>
      <c r="E69" s="56" t="s">
        <v>66</v>
      </c>
      <c r="F69" s="56">
        <v>1885.0</v>
      </c>
      <c r="G69" s="57" t="s">
        <v>490</v>
      </c>
      <c r="H69" s="64" t="s">
        <v>491</v>
      </c>
      <c r="I69" s="58">
        <v>46170.0</v>
      </c>
    </row>
    <row r="70" ht="15.75" customHeight="1">
      <c r="A70" s="29" t="str">
        <f t="shared" si="1"/>
        <v>05 - MAI - 26 / 29/05 - SEX</v>
      </c>
      <c r="B70" s="55" t="s">
        <v>492</v>
      </c>
      <c r="C70" s="55" t="s">
        <v>86</v>
      </c>
      <c r="D70" s="56" t="s">
        <v>66</v>
      </c>
      <c r="E70" s="56" t="s">
        <v>66</v>
      </c>
      <c r="F70" s="56"/>
      <c r="G70" s="57" t="s">
        <v>493</v>
      </c>
      <c r="H70" s="64" t="s">
        <v>494</v>
      </c>
      <c r="I70" s="58">
        <v>46170.0</v>
      </c>
    </row>
    <row r="71" ht="15.75" customHeight="1">
      <c r="A71" s="37" t="str">
        <f t="shared" ref="A71:A74" si="2">HYPERLINK("https://drive.google.com/drive/folders/1CGY_EaDj8vwg9HyVHSsVmbMEiMhxXh52", "05 - MAI - 26 / 28/05 - QUI")</f>
        <v>05 - MAI - 26 / 28/05 - QUI</v>
      </c>
      <c r="B71" s="59" t="s">
        <v>495</v>
      </c>
      <c r="C71" s="59" t="s">
        <v>86</v>
      </c>
      <c r="D71" s="60" t="s">
        <v>66</v>
      </c>
      <c r="E71" s="60" t="s">
        <v>66</v>
      </c>
      <c r="F71" s="60"/>
      <c r="G71" s="61" t="s">
        <v>496</v>
      </c>
      <c r="H71" s="63" t="s">
        <v>497</v>
      </c>
      <c r="I71" s="62">
        <v>46170.0</v>
      </c>
    </row>
    <row r="72" ht="15.75" customHeight="1">
      <c r="A72" s="29" t="str">
        <f t="shared" si="2"/>
        <v>05 - MAI - 26 / 28/05 - QUI</v>
      </c>
      <c r="B72" s="55" t="s">
        <v>498</v>
      </c>
      <c r="C72" s="55" t="s">
        <v>86</v>
      </c>
      <c r="D72" s="56" t="s">
        <v>66</v>
      </c>
      <c r="E72" s="56" t="s">
        <v>66</v>
      </c>
      <c r="F72" s="56"/>
      <c r="G72" s="57" t="s">
        <v>499</v>
      </c>
      <c r="H72" s="64" t="s">
        <v>500</v>
      </c>
      <c r="I72" s="58">
        <v>46170.0</v>
      </c>
    </row>
    <row r="73" ht="15.75" customHeight="1">
      <c r="A73" s="29" t="str">
        <f t="shared" si="2"/>
        <v>05 - MAI - 26 / 28/05 - QUI</v>
      </c>
      <c r="B73" s="55" t="s">
        <v>501</v>
      </c>
      <c r="C73" s="55" t="s">
        <v>86</v>
      </c>
      <c r="D73" s="56" t="s">
        <v>66</v>
      </c>
      <c r="E73" s="56" t="s">
        <v>66</v>
      </c>
      <c r="F73" s="56"/>
      <c r="G73" s="57" t="s">
        <v>502</v>
      </c>
      <c r="H73" s="64" t="s">
        <v>503</v>
      </c>
      <c r="I73" s="58">
        <v>46170.0</v>
      </c>
    </row>
    <row r="74" ht="15.75" customHeight="1">
      <c r="A74" s="29" t="str">
        <f t="shared" si="2"/>
        <v>05 - MAI - 26 / 28/05 - QUI</v>
      </c>
      <c r="B74" s="55" t="s">
        <v>504</v>
      </c>
      <c r="C74" s="55" t="s">
        <v>86</v>
      </c>
      <c r="D74" s="56" t="s">
        <v>66</v>
      </c>
      <c r="E74" s="56" t="s">
        <v>66</v>
      </c>
      <c r="F74" s="56"/>
      <c r="G74" s="57" t="s">
        <v>505</v>
      </c>
      <c r="H74" s="64" t="s">
        <v>506</v>
      </c>
      <c r="I74" s="58">
        <v>46170.0</v>
      </c>
    </row>
    <row r="75" ht="15.75" customHeight="1">
      <c r="A75" s="55" t="s">
        <v>507</v>
      </c>
      <c r="B75" s="55" t="s">
        <v>508</v>
      </c>
      <c r="C75" s="55" t="s">
        <v>86</v>
      </c>
      <c r="D75" s="56" t="s">
        <v>66</v>
      </c>
      <c r="E75" s="56" t="s">
        <v>66</v>
      </c>
      <c r="F75" s="56"/>
      <c r="G75" s="57" t="s">
        <v>509</v>
      </c>
      <c r="H75" s="64" t="s">
        <v>510</v>
      </c>
      <c r="I75" s="58">
        <v>46170.0</v>
      </c>
    </row>
    <row r="76" ht="15.75" customHeight="1">
      <c r="A76" s="29" t="str">
        <f t="shared" ref="A76:A81" si="3">HYPERLINK("https://drive.google.com/drive/folders/1CGY_EaDj8vwg9HyVHSsVmbMEiMhxXh52", "05 - MAI - 26 / 28/05 - QUI")</f>
        <v>05 - MAI - 26 / 28/05 - QUI</v>
      </c>
      <c r="B76" s="55" t="s">
        <v>511</v>
      </c>
      <c r="C76" s="55" t="s">
        <v>86</v>
      </c>
      <c r="D76" s="56" t="s">
        <v>66</v>
      </c>
      <c r="E76" s="56" t="s">
        <v>66</v>
      </c>
      <c r="F76" s="56"/>
      <c r="G76" s="57" t="s">
        <v>512</v>
      </c>
      <c r="H76" s="64" t="s">
        <v>513</v>
      </c>
      <c r="I76" s="58">
        <v>46169.0</v>
      </c>
    </row>
    <row r="77" ht="15.75" customHeight="1">
      <c r="A77" s="29" t="str">
        <f t="shared" si="3"/>
        <v>05 - MAI - 26 / 28/05 - QUI</v>
      </c>
      <c r="B77" s="55" t="s">
        <v>514</v>
      </c>
      <c r="C77" s="55" t="s">
        <v>86</v>
      </c>
      <c r="D77" s="56" t="s">
        <v>66</v>
      </c>
      <c r="E77" s="56" t="s">
        <v>66</v>
      </c>
      <c r="F77" s="56"/>
      <c r="G77" s="57" t="s">
        <v>515</v>
      </c>
      <c r="H77" s="64" t="s">
        <v>516</v>
      </c>
      <c r="I77" s="58">
        <v>46169.0</v>
      </c>
    </row>
    <row r="78" ht="15.75" customHeight="1">
      <c r="A78" s="29" t="str">
        <f t="shared" si="3"/>
        <v>05 - MAI - 26 / 28/05 - QUI</v>
      </c>
      <c r="B78" s="55" t="s">
        <v>517</v>
      </c>
      <c r="C78" s="55" t="s">
        <v>86</v>
      </c>
      <c r="D78" s="56" t="s">
        <v>66</v>
      </c>
      <c r="E78" s="56" t="s">
        <v>66</v>
      </c>
      <c r="F78" s="56"/>
      <c r="G78" s="57" t="s">
        <v>518</v>
      </c>
      <c r="H78" s="64" t="s">
        <v>519</v>
      </c>
      <c r="I78" s="58">
        <v>46169.0</v>
      </c>
    </row>
    <row r="79" ht="15.75" customHeight="1">
      <c r="A79" s="29" t="str">
        <f t="shared" si="3"/>
        <v>05 - MAI - 26 / 28/05 - QUI</v>
      </c>
      <c r="B79" s="55" t="s">
        <v>520</v>
      </c>
      <c r="C79" s="55" t="s">
        <v>86</v>
      </c>
      <c r="D79" s="56" t="s">
        <v>66</v>
      </c>
      <c r="E79" s="56" t="s">
        <v>66</v>
      </c>
      <c r="F79" s="56"/>
      <c r="G79" s="57" t="s">
        <v>521</v>
      </c>
      <c r="H79" s="64" t="s">
        <v>522</v>
      </c>
      <c r="I79" s="58">
        <v>46169.0</v>
      </c>
    </row>
    <row r="80" ht="15.75" customHeight="1">
      <c r="A80" s="29" t="str">
        <f t="shared" si="3"/>
        <v>05 - MAI - 26 / 28/05 - QUI</v>
      </c>
      <c r="B80" s="55" t="s">
        <v>523</v>
      </c>
      <c r="C80" s="55" t="s">
        <v>86</v>
      </c>
      <c r="D80" s="56" t="s">
        <v>66</v>
      </c>
      <c r="E80" s="56" t="s">
        <v>66</v>
      </c>
      <c r="F80" s="56"/>
      <c r="G80" s="57" t="s">
        <v>524</v>
      </c>
      <c r="H80" s="64" t="s">
        <v>525</v>
      </c>
      <c r="I80" s="58">
        <v>46169.0</v>
      </c>
    </row>
    <row r="81" ht="15.75" customHeight="1">
      <c r="A81" s="29" t="str">
        <f t="shared" si="3"/>
        <v>05 - MAI - 26 / 28/05 - QUI</v>
      </c>
      <c r="B81" s="55" t="s">
        <v>526</v>
      </c>
      <c r="C81" s="55" t="s">
        <v>86</v>
      </c>
      <c r="D81" s="56" t="s">
        <v>66</v>
      </c>
      <c r="E81" s="56" t="s">
        <v>66</v>
      </c>
      <c r="F81" s="56"/>
      <c r="G81" s="57" t="s">
        <v>527</v>
      </c>
      <c r="H81" s="64" t="s">
        <v>528</v>
      </c>
      <c r="I81" s="58">
        <v>46169.0</v>
      </c>
    </row>
    <row r="82" ht="15.75" customHeight="1">
      <c r="A82" s="37" t="str">
        <f t="shared" ref="A82:A91" si="4">HYPERLINK("https://drive.google.com/drive/folders/1nGCWoJ_wrbnF64LgTcov5EXaK7js90vJ", "05 - MAI - 26 / 27/05 - QUA")</f>
        <v>05 - MAI - 26 / 27/05 - QUA</v>
      </c>
      <c r="B82" s="59" t="s">
        <v>529</v>
      </c>
      <c r="C82" s="59" t="s">
        <v>86</v>
      </c>
      <c r="D82" s="60" t="s">
        <v>66</v>
      </c>
      <c r="E82" s="60" t="s">
        <v>66</v>
      </c>
      <c r="F82" s="60"/>
      <c r="G82" s="61" t="s">
        <v>530</v>
      </c>
      <c r="H82" s="63" t="s">
        <v>531</v>
      </c>
      <c r="I82" s="62">
        <v>46169.0</v>
      </c>
    </row>
    <row r="83" ht="15.75" customHeight="1">
      <c r="A83" s="29" t="str">
        <f t="shared" si="4"/>
        <v>05 - MAI - 26 / 27/05 - QUA</v>
      </c>
      <c r="B83" s="55" t="s">
        <v>532</v>
      </c>
      <c r="C83" s="55" t="s">
        <v>86</v>
      </c>
      <c r="D83" s="56" t="s">
        <v>66</v>
      </c>
      <c r="E83" s="56" t="s">
        <v>66</v>
      </c>
      <c r="F83" s="56"/>
      <c r="G83" s="57" t="s">
        <v>533</v>
      </c>
      <c r="H83" s="64" t="s">
        <v>534</v>
      </c>
      <c r="I83" s="58">
        <v>46169.0</v>
      </c>
    </row>
    <row r="84" ht="15.75" customHeight="1">
      <c r="A84" s="29" t="str">
        <f t="shared" si="4"/>
        <v>05 - MAI - 26 / 27/05 - QUA</v>
      </c>
      <c r="B84" s="55" t="s">
        <v>535</v>
      </c>
      <c r="C84" s="55" t="s">
        <v>86</v>
      </c>
      <c r="D84" s="56" t="s">
        <v>66</v>
      </c>
      <c r="E84" s="56" t="s">
        <v>66</v>
      </c>
      <c r="F84" s="56"/>
      <c r="G84" s="57" t="s">
        <v>536</v>
      </c>
      <c r="H84" s="64" t="s">
        <v>537</v>
      </c>
      <c r="I84" s="58">
        <v>46169.0</v>
      </c>
    </row>
    <row r="85" ht="15.75" customHeight="1">
      <c r="A85" s="29" t="str">
        <f t="shared" si="4"/>
        <v>05 - MAI - 26 / 27/05 - QUA</v>
      </c>
      <c r="B85" s="55" t="s">
        <v>538</v>
      </c>
      <c r="C85" s="55" t="s">
        <v>86</v>
      </c>
      <c r="D85" s="56" t="s">
        <v>66</v>
      </c>
      <c r="E85" s="56" t="s">
        <v>66</v>
      </c>
      <c r="F85" s="56"/>
      <c r="G85" s="57" t="s">
        <v>539</v>
      </c>
      <c r="H85" s="64" t="s">
        <v>540</v>
      </c>
      <c r="I85" s="58">
        <v>46169.0</v>
      </c>
    </row>
    <row r="86" ht="15.75" customHeight="1">
      <c r="A86" s="29" t="str">
        <f t="shared" si="4"/>
        <v>05 - MAI - 26 / 27/05 - QUA</v>
      </c>
      <c r="B86" s="55" t="s">
        <v>541</v>
      </c>
      <c r="C86" s="55" t="s">
        <v>86</v>
      </c>
      <c r="D86" s="56" t="s">
        <v>66</v>
      </c>
      <c r="E86" s="56" t="s">
        <v>66</v>
      </c>
      <c r="F86" s="56"/>
      <c r="G86" s="57" t="s">
        <v>542</v>
      </c>
      <c r="H86" s="64" t="s">
        <v>543</v>
      </c>
      <c r="I86" s="58">
        <v>46169.0</v>
      </c>
    </row>
    <row r="87" ht="15.75" customHeight="1">
      <c r="A87" s="29" t="str">
        <f t="shared" si="4"/>
        <v>05 - MAI - 26 / 27/05 - QUA</v>
      </c>
      <c r="B87" s="55" t="s">
        <v>544</v>
      </c>
      <c r="C87" s="55" t="s">
        <v>86</v>
      </c>
      <c r="D87" s="56" t="s">
        <v>66</v>
      </c>
      <c r="E87" s="56" t="s">
        <v>66</v>
      </c>
      <c r="F87" s="56"/>
      <c r="G87" s="57" t="s">
        <v>545</v>
      </c>
      <c r="H87" s="64" t="s">
        <v>546</v>
      </c>
      <c r="I87" s="58">
        <v>46168.0</v>
      </c>
    </row>
    <row r="88" ht="15.75" customHeight="1">
      <c r="A88" s="29" t="str">
        <f t="shared" si="4"/>
        <v>05 - MAI - 26 / 27/05 - QUA</v>
      </c>
      <c r="B88" s="55" t="s">
        <v>547</v>
      </c>
      <c r="C88" s="55" t="s">
        <v>86</v>
      </c>
      <c r="D88" s="56" t="s">
        <v>66</v>
      </c>
      <c r="E88" s="56" t="s">
        <v>66</v>
      </c>
      <c r="F88" s="56"/>
      <c r="G88" s="57" t="s">
        <v>548</v>
      </c>
      <c r="H88" s="64" t="s">
        <v>549</v>
      </c>
      <c r="I88" s="58">
        <v>46168.0</v>
      </c>
    </row>
    <row r="89" ht="15.75" customHeight="1">
      <c r="A89" s="29" t="str">
        <f t="shared" si="4"/>
        <v>05 - MAI - 26 / 27/05 - QUA</v>
      </c>
      <c r="B89" s="55" t="s">
        <v>550</v>
      </c>
      <c r="C89" s="55" t="s">
        <v>86</v>
      </c>
      <c r="D89" s="56" t="s">
        <v>66</v>
      </c>
      <c r="E89" s="56" t="s">
        <v>66</v>
      </c>
      <c r="F89" s="56"/>
      <c r="G89" s="57" t="s">
        <v>551</v>
      </c>
      <c r="H89" s="64" t="s">
        <v>552</v>
      </c>
      <c r="I89" s="58">
        <v>46168.0</v>
      </c>
    </row>
    <row r="90" ht="15.75" customHeight="1">
      <c r="A90" s="29" t="str">
        <f t="shared" si="4"/>
        <v>05 - MAI - 26 / 27/05 - QUA</v>
      </c>
      <c r="B90" s="55" t="s">
        <v>553</v>
      </c>
      <c r="C90" s="55" t="s">
        <v>86</v>
      </c>
      <c r="D90" s="56" t="s">
        <v>66</v>
      </c>
      <c r="E90" s="56" t="s">
        <v>66</v>
      </c>
      <c r="F90" s="56"/>
      <c r="G90" s="57" t="s">
        <v>554</v>
      </c>
      <c r="H90" s="64" t="s">
        <v>555</v>
      </c>
      <c r="I90" s="58">
        <v>46168.0</v>
      </c>
    </row>
    <row r="91" ht="15.75" customHeight="1">
      <c r="A91" s="29" t="str">
        <f t="shared" si="4"/>
        <v>05 - MAI - 26 / 27/05 - QUA</v>
      </c>
      <c r="B91" s="55" t="s">
        <v>556</v>
      </c>
      <c r="C91" s="55" t="s">
        <v>86</v>
      </c>
      <c r="D91" s="56" t="s">
        <v>66</v>
      </c>
      <c r="E91" s="56" t="s">
        <v>66</v>
      </c>
      <c r="F91" s="56"/>
      <c r="G91" s="57" t="s">
        <v>557</v>
      </c>
      <c r="H91" s="64" t="s">
        <v>558</v>
      </c>
      <c r="I91" s="58">
        <v>46168.0</v>
      </c>
    </row>
    <row r="92" ht="15.75" customHeight="1">
      <c r="A92" s="37" t="str">
        <f t="shared" ref="A92:A101" si="5">HYPERLINK("https://drive.google.com/drive/folders/1IO-SzS8OoK32CRsofNtuYykkoINj1BZB", "05 - MAI - 26 / 26/05 - TER")</f>
        <v>05 - MAI - 26 / 26/05 - TER</v>
      </c>
      <c r="B92" s="59" t="s">
        <v>559</v>
      </c>
      <c r="C92" s="59" t="s">
        <v>86</v>
      </c>
      <c r="D92" s="60" t="s">
        <v>315</v>
      </c>
      <c r="E92" s="60" t="s">
        <v>66</v>
      </c>
      <c r="F92" s="60"/>
      <c r="G92" s="61" t="s">
        <v>560</v>
      </c>
      <c r="H92" s="63" t="s">
        <v>561</v>
      </c>
      <c r="I92" s="62">
        <v>46168.0</v>
      </c>
    </row>
    <row r="93" ht="15.75" customHeight="1">
      <c r="A93" s="29" t="str">
        <f t="shared" si="5"/>
        <v>05 - MAI - 26 / 26/05 - TER</v>
      </c>
      <c r="B93" s="55" t="s">
        <v>562</v>
      </c>
      <c r="C93" s="55" t="s">
        <v>86</v>
      </c>
      <c r="D93" s="56" t="s">
        <v>315</v>
      </c>
      <c r="E93" s="56" t="s">
        <v>66</v>
      </c>
      <c r="F93" s="56"/>
      <c r="G93" s="57" t="s">
        <v>563</v>
      </c>
      <c r="H93" s="64" t="s">
        <v>564</v>
      </c>
      <c r="I93" s="58">
        <v>46168.0</v>
      </c>
    </row>
    <row r="94" ht="15.75" customHeight="1">
      <c r="A94" s="29" t="str">
        <f t="shared" si="5"/>
        <v>05 - MAI - 26 / 26/05 - TER</v>
      </c>
      <c r="B94" s="55" t="s">
        <v>565</v>
      </c>
      <c r="C94" s="55" t="s">
        <v>86</v>
      </c>
      <c r="D94" s="56" t="s">
        <v>315</v>
      </c>
      <c r="E94" s="56" t="s">
        <v>66</v>
      </c>
      <c r="F94" s="56"/>
      <c r="G94" s="57" t="s">
        <v>566</v>
      </c>
      <c r="H94" s="64" t="s">
        <v>567</v>
      </c>
      <c r="I94" s="58">
        <v>46168.0</v>
      </c>
    </row>
    <row r="95" ht="15.75" customHeight="1">
      <c r="A95" s="29" t="str">
        <f t="shared" si="5"/>
        <v>05 - MAI - 26 / 26/05 - TER</v>
      </c>
      <c r="B95" s="55" t="s">
        <v>568</v>
      </c>
      <c r="C95" s="55" t="s">
        <v>86</v>
      </c>
      <c r="D95" s="56" t="s">
        <v>315</v>
      </c>
      <c r="E95" s="56" t="s">
        <v>66</v>
      </c>
      <c r="F95" s="56"/>
      <c r="G95" s="57" t="s">
        <v>569</v>
      </c>
      <c r="H95" s="64" t="s">
        <v>570</v>
      </c>
      <c r="I95" s="58">
        <v>46168.0</v>
      </c>
    </row>
    <row r="96" ht="15.75" customHeight="1">
      <c r="A96" s="29" t="str">
        <f t="shared" si="5"/>
        <v>05 - MAI - 26 / 26/05 - TER</v>
      </c>
      <c r="B96" s="55" t="s">
        <v>571</v>
      </c>
      <c r="C96" s="55" t="s">
        <v>86</v>
      </c>
      <c r="D96" s="56" t="s">
        <v>315</v>
      </c>
      <c r="E96" s="56" t="s">
        <v>66</v>
      </c>
      <c r="F96" s="56"/>
      <c r="G96" s="57" t="s">
        <v>572</v>
      </c>
      <c r="H96" s="64" t="s">
        <v>573</v>
      </c>
      <c r="I96" s="58">
        <v>46168.0</v>
      </c>
    </row>
    <row r="97" ht="15.75" customHeight="1">
      <c r="A97" s="29" t="str">
        <f t="shared" si="5"/>
        <v>05 - MAI - 26 / 26/05 - TER</v>
      </c>
      <c r="B97" s="55" t="s">
        <v>574</v>
      </c>
      <c r="C97" s="55" t="s">
        <v>86</v>
      </c>
      <c r="D97" s="56" t="s">
        <v>66</v>
      </c>
      <c r="E97" s="56" t="s">
        <v>66</v>
      </c>
      <c r="F97" s="56"/>
      <c r="G97" s="57" t="s">
        <v>575</v>
      </c>
      <c r="H97" s="64" t="s">
        <v>576</v>
      </c>
      <c r="I97" s="58">
        <v>46168.0</v>
      </c>
    </row>
    <row r="98" ht="15.75" customHeight="1">
      <c r="A98" s="29" t="str">
        <f t="shared" si="5"/>
        <v>05 - MAI - 26 / 26/05 - TER</v>
      </c>
      <c r="B98" s="55" t="s">
        <v>577</v>
      </c>
      <c r="C98" s="55" t="s">
        <v>86</v>
      </c>
      <c r="D98" s="56" t="s">
        <v>66</v>
      </c>
      <c r="E98" s="56" t="s">
        <v>66</v>
      </c>
      <c r="F98" s="56"/>
      <c r="G98" s="57" t="s">
        <v>578</v>
      </c>
      <c r="H98" s="64" t="s">
        <v>579</v>
      </c>
      <c r="I98" s="58">
        <v>46168.0</v>
      </c>
    </row>
    <row r="99" ht="15.75" customHeight="1">
      <c r="A99" s="29" t="str">
        <f t="shared" si="5"/>
        <v>05 - MAI - 26 / 26/05 - TER</v>
      </c>
      <c r="B99" s="55" t="s">
        <v>580</v>
      </c>
      <c r="C99" s="55" t="s">
        <v>86</v>
      </c>
      <c r="D99" s="56" t="s">
        <v>66</v>
      </c>
      <c r="E99" s="56" t="s">
        <v>66</v>
      </c>
      <c r="F99" s="56"/>
      <c r="G99" s="57" t="s">
        <v>581</v>
      </c>
      <c r="H99" s="64" t="s">
        <v>582</v>
      </c>
      <c r="I99" s="58">
        <v>46168.0</v>
      </c>
    </row>
    <row r="100" ht="15.75" customHeight="1">
      <c r="A100" s="29" t="str">
        <f t="shared" si="5"/>
        <v>05 - MAI - 26 / 26/05 - TER</v>
      </c>
      <c r="B100" s="55" t="s">
        <v>583</v>
      </c>
      <c r="C100" s="55" t="s">
        <v>86</v>
      </c>
      <c r="D100" s="56" t="s">
        <v>66</v>
      </c>
      <c r="E100" s="56" t="s">
        <v>66</v>
      </c>
      <c r="F100" s="56"/>
      <c r="G100" s="57" t="s">
        <v>584</v>
      </c>
      <c r="H100" s="64" t="s">
        <v>585</v>
      </c>
      <c r="I100" s="58">
        <v>46168.0</v>
      </c>
    </row>
    <row r="101" ht="15.75" customHeight="1">
      <c r="A101" s="29" t="str">
        <f t="shared" si="5"/>
        <v>05 - MAI - 26 / 26/05 - TER</v>
      </c>
      <c r="B101" s="55" t="s">
        <v>586</v>
      </c>
      <c r="C101" s="55" t="s">
        <v>86</v>
      </c>
      <c r="D101" s="56" t="s">
        <v>66</v>
      </c>
      <c r="E101" s="56" t="s">
        <v>66</v>
      </c>
      <c r="F101" s="56"/>
      <c r="G101" s="57" t="s">
        <v>587</v>
      </c>
      <c r="H101" s="64" t="s">
        <v>588</v>
      </c>
      <c r="I101" s="58">
        <v>46168.0</v>
      </c>
    </row>
    <row r="102" ht="15.75" customHeight="1">
      <c r="A102" s="37" t="str">
        <f t="shared" ref="A102:A111" si="6">HYPERLINK("https://drive.google.com/drive/folders/1v6Qd_a66-DmSil2h1oPvDC5TMRGgunsy", "05 - MAI - 26 / 25/05 - SEG")</f>
        <v>05 - MAI - 26 / 25/05 - SEG</v>
      </c>
      <c r="B102" s="59" t="s">
        <v>589</v>
      </c>
      <c r="C102" s="59" t="s">
        <v>86</v>
      </c>
      <c r="D102" s="60" t="s">
        <v>315</v>
      </c>
      <c r="E102" s="60" t="s">
        <v>66</v>
      </c>
      <c r="F102" s="60"/>
      <c r="G102" s="61" t="s">
        <v>590</v>
      </c>
      <c r="H102" s="63" t="s">
        <v>591</v>
      </c>
      <c r="I102" s="62">
        <v>46167.0</v>
      </c>
    </row>
    <row r="103" ht="15.75" customHeight="1">
      <c r="A103" s="29" t="str">
        <f t="shared" si="6"/>
        <v>05 - MAI - 26 / 25/05 - SEG</v>
      </c>
      <c r="B103" s="55" t="s">
        <v>592</v>
      </c>
      <c r="C103" s="55" t="s">
        <v>86</v>
      </c>
      <c r="D103" s="56" t="s">
        <v>315</v>
      </c>
      <c r="E103" s="56" t="s">
        <v>66</v>
      </c>
      <c r="F103" s="56"/>
      <c r="G103" s="57" t="s">
        <v>593</v>
      </c>
      <c r="H103" s="64" t="s">
        <v>594</v>
      </c>
      <c r="I103" s="58">
        <v>46167.0</v>
      </c>
    </row>
    <row r="104" ht="15.75" customHeight="1">
      <c r="A104" s="29" t="str">
        <f t="shared" si="6"/>
        <v>05 - MAI - 26 / 25/05 - SEG</v>
      </c>
      <c r="B104" s="55" t="s">
        <v>595</v>
      </c>
      <c r="C104" s="55" t="s">
        <v>86</v>
      </c>
      <c r="D104" s="56" t="s">
        <v>315</v>
      </c>
      <c r="E104" s="56" t="s">
        <v>66</v>
      </c>
      <c r="F104" s="56"/>
      <c r="G104" s="57" t="s">
        <v>596</v>
      </c>
      <c r="H104" s="64" t="s">
        <v>597</v>
      </c>
      <c r="I104" s="58">
        <v>46167.0</v>
      </c>
    </row>
    <row r="105" ht="15.75" customHeight="1">
      <c r="A105" s="29" t="str">
        <f t="shared" si="6"/>
        <v>05 - MAI - 26 / 25/05 - SEG</v>
      </c>
      <c r="B105" s="55" t="s">
        <v>598</v>
      </c>
      <c r="C105" s="55" t="s">
        <v>86</v>
      </c>
      <c r="D105" s="56" t="s">
        <v>315</v>
      </c>
      <c r="E105" s="56" t="s">
        <v>66</v>
      </c>
      <c r="F105" s="56"/>
      <c r="G105" s="57" t="s">
        <v>599</v>
      </c>
      <c r="H105" s="64" t="s">
        <v>600</v>
      </c>
      <c r="I105" s="58">
        <v>46167.0</v>
      </c>
    </row>
    <row r="106" ht="15.75" customHeight="1">
      <c r="A106" s="29" t="str">
        <f t="shared" si="6"/>
        <v>05 - MAI - 26 / 25/05 - SEG</v>
      </c>
      <c r="B106" s="55" t="s">
        <v>601</v>
      </c>
      <c r="C106" s="55" t="s">
        <v>602</v>
      </c>
      <c r="D106" s="56" t="s">
        <v>315</v>
      </c>
      <c r="E106" s="56" t="s">
        <v>66</v>
      </c>
      <c r="F106" s="56"/>
      <c r="G106" s="57" t="s">
        <v>603</v>
      </c>
      <c r="H106" s="64" t="s">
        <v>604</v>
      </c>
      <c r="I106" s="58">
        <v>46167.0</v>
      </c>
    </row>
    <row r="107" ht="15.75" customHeight="1">
      <c r="A107" s="29" t="str">
        <f t="shared" si="6"/>
        <v>05 - MAI - 26 / 25/05 - SEG</v>
      </c>
      <c r="B107" s="55" t="s">
        <v>605</v>
      </c>
      <c r="C107" s="55" t="s">
        <v>602</v>
      </c>
      <c r="D107" s="56" t="s">
        <v>66</v>
      </c>
      <c r="E107" s="56" t="s">
        <v>66</v>
      </c>
      <c r="F107" s="56"/>
      <c r="G107" s="57" t="s">
        <v>606</v>
      </c>
      <c r="H107" s="64" t="s">
        <v>607</v>
      </c>
      <c r="I107" s="58">
        <v>46167.0</v>
      </c>
    </row>
    <row r="108" ht="15.75" customHeight="1">
      <c r="A108" s="29" t="str">
        <f t="shared" si="6"/>
        <v>05 - MAI - 26 / 25/05 - SEG</v>
      </c>
      <c r="B108" s="55" t="s">
        <v>608</v>
      </c>
      <c r="C108" s="55" t="s">
        <v>602</v>
      </c>
      <c r="D108" s="56" t="s">
        <v>66</v>
      </c>
      <c r="E108" s="56" t="s">
        <v>66</v>
      </c>
      <c r="F108" s="56">
        <v>1881.0</v>
      </c>
      <c r="G108" s="57" t="s">
        <v>609</v>
      </c>
      <c r="H108" s="64" t="s">
        <v>610</v>
      </c>
      <c r="I108" s="58">
        <v>46167.0</v>
      </c>
    </row>
    <row r="109" ht="15.75" customHeight="1">
      <c r="A109" s="29" t="str">
        <f t="shared" si="6"/>
        <v>05 - MAI - 26 / 25/05 - SEG</v>
      </c>
      <c r="B109" s="55" t="s">
        <v>611</v>
      </c>
      <c r="C109" s="55" t="s">
        <v>602</v>
      </c>
      <c r="D109" s="56" t="s">
        <v>66</v>
      </c>
      <c r="E109" s="56" t="s">
        <v>66</v>
      </c>
      <c r="F109" s="56">
        <v>1881.0</v>
      </c>
      <c r="G109" s="57" t="s">
        <v>612</v>
      </c>
      <c r="H109" s="64" t="s">
        <v>613</v>
      </c>
      <c r="I109" s="58">
        <v>46167.0</v>
      </c>
    </row>
    <row r="110" ht="15.75" customHeight="1">
      <c r="A110" s="29" t="str">
        <f t="shared" si="6"/>
        <v>05 - MAI - 26 / 25/05 - SEG</v>
      </c>
      <c r="B110" s="55" t="s">
        <v>614</v>
      </c>
      <c r="C110" s="55" t="s">
        <v>602</v>
      </c>
      <c r="D110" s="56" t="s">
        <v>66</v>
      </c>
      <c r="E110" s="56" t="s">
        <v>66</v>
      </c>
      <c r="F110" s="56">
        <v>1881.0</v>
      </c>
      <c r="G110" s="57" t="s">
        <v>615</v>
      </c>
      <c r="H110" s="64" t="s">
        <v>616</v>
      </c>
      <c r="I110" s="58">
        <v>46167.0</v>
      </c>
    </row>
    <row r="111" ht="15.75" customHeight="1">
      <c r="A111" s="29" t="str">
        <f t="shared" si="6"/>
        <v>05 - MAI - 26 / 25/05 - SEG</v>
      </c>
      <c r="B111" s="55" t="s">
        <v>617</v>
      </c>
      <c r="C111" s="55" t="s">
        <v>602</v>
      </c>
      <c r="D111" s="56" t="s">
        <v>66</v>
      </c>
      <c r="E111" s="56" t="s">
        <v>66</v>
      </c>
      <c r="F111" s="56">
        <v>1881.0</v>
      </c>
      <c r="G111" s="57" t="s">
        <v>618</v>
      </c>
      <c r="H111" s="64" t="s">
        <v>619</v>
      </c>
      <c r="I111" s="58">
        <v>46167.0</v>
      </c>
    </row>
    <row r="112" ht="15.75" customHeight="1">
      <c r="A112" s="37" t="str">
        <f t="shared" ref="A112:A121" si="7">HYPERLINK("https://drive.google.com/drive/folders/1X_cZvnZZpB_0SqcbolNCwvqujU3ykqg2", "05 - MAI - 26 / 22/05 - SEX")</f>
        <v>05 - MAI - 26 / 22/05 - SEX</v>
      </c>
      <c r="B112" s="59" t="s">
        <v>620</v>
      </c>
      <c r="C112" s="59" t="s">
        <v>86</v>
      </c>
      <c r="D112" s="60" t="s">
        <v>377</v>
      </c>
      <c r="E112" s="60" t="s">
        <v>66</v>
      </c>
      <c r="F112" s="60"/>
      <c r="G112" s="61" t="s">
        <v>621</v>
      </c>
      <c r="H112" s="63" t="s">
        <v>622</v>
      </c>
      <c r="I112" s="62">
        <v>46164.0</v>
      </c>
    </row>
    <row r="113" ht="15.75" customHeight="1">
      <c r="A113" s="29" t="str">
        <f t="shared" si="7"/>
        <v>05 - MAI - 26 / 22/05 - SEX</v>
      </c>
      <c r="B113" s="55" t="s">
        <v>623</v>
      </c>
      <c r="C113" s="55" t="s">
        <v>86</v>
      </c>
      <c r="D113" s="56" t="s">
        <v>377</v>
      </c>
      <c r="E113" s="56" t="s">
        <v>66</v>
      </c>
      <c r="F113" s="56"/>
      <c r="G113" s="57" t="s">
        <v>624</v>
      </c>
      <c r="H113" s="64" t="s">
        <v>625</v>
      </c>
      <c r="I113" s="58">
        <v>46164.0</v>
      </c>
    </row>
    <row r="114" ht="15.75" customHeight="1">
      <c r="A114" s="29" t="str">
        <f t="shared" si="7"/>
        <v>05 - MAI - 26 / 22/05 - SEX</v>
      </c>
      <c r="B114" s="55" t="s">
        <v>626</v>
      </c>
      <c r="C114" s="55" t="s">
        <v>86</v>
      </c>
      <c r="D114" s="56" t="s">
        <v>377</v>
      </c>
      <c r="E114" s="56" t="s">
        <v>66</v>
      </c>
      <c r="F114" s="56"/>
      <c r="G114" s="57" t="s">
        <v>627</v>
      </c>
      <c r="H114" s="64" t="s">
        <v>628</v>
      </c>
      <c r="I114" s="58">
        <v>46164.0</v>
      </c>
    </row>
    <row r="115" ht="15.75" customHeight="1">
      <c r="A115" s="29" t="str">
        <f t="shared" si="7"/>
        <v>05 - MAI - 26 / 22/05 - SEX</v>
      </c>
      <c r="B115" s="55" t="s">
        <v>629</v>
      </c>
      <c r="C115" s="55" t="s">
        <v>86</v>
      </c>
      <c r="D115" s="56" t="s">
        <v>377</v>
      </c>
      <c r="E115" s="56" t="s">
        <v>66</v>
      </c>
      <c r="F115" s="56"/>
      <c r="G115" s="57" t="s">
        <v>630</v>
      </c>
      <c r="H115" s="64" t="s">
        <v>631</v>
      </c>
      <c r="I115" s="58">
        <v>46164.0</v>
      </c>
    </row>
    <row r="116" ht="15.75" customHeight="1">
      <c r="A116" s="29" t="str">
        <f t="shared" si="7"/>
        <v>05 - MAI - 26 / 22/05 - SEX</v>
      </c>
      <c r="B116" s="55" t="s">
        <v>632</v>
      </c>
      <c r="C116" s="55" t="s">
        <v>86</v>
      </c>
      <c r="D116" s="56" t="s">
        <v>377</v>
      </c>
      <c r="E116" s="56" t="s">
        <v>66</v>
      </c>
      <c r="F116" s="56">
        <v>1880.0</v>
      </c>
      <c r="G116" s="57" t="s">
        <v>633</v>
      </c>
      <c r="H116" s="64" t="s">
        <v>634</v>
      </c>
      <c r="I116" s="58">
        <v>46164.0</v>
      </c>
    </row>
    <row r="117" ht="15.75" customHeight="1">
      <c r="A117" s="29" t="str">
        <f t="shared" si="7"/>
        <v>05 - MAI - 26 / 22/05 - SEX</v>
      </c>
      <c r="B117" s="55" t="s">
        <v>635</v>
      </c>
      <c r="C117" s="55" t="s">
        <v>86</v>
      </c>
      <c r="D117" s="56" t="s">
        <v>377</v>
      </c>
      <c r="E117" s="56" t="s">
        <v>66</v>
      </c>
      <c r="F117" s="56">
        <v>1880.0</v>
      </c>
      <c r="G117" s="57" t="s">
        <v>636</v>
      </c>
      <c r="H117" s="64" t="s">
        <v>637</v>
      </c>
      <c r="I117" s="58">
        <v>46164.0</v>
      </c>
    </row>
    <row r="118" ht="15.75" customHeight="1">
      <c r="A118" s="29" t="str">
        <f t="shared" si="7"/>
        <v>05 - MAI - 26 / 22/05 - SEX</v>
      </c>
      <c r="B118" s="55" t="s">
        <v>638</v>
      </c>
      <c r="C118" s="55" t="s">
        <v>86</v>
      </c>
      <c r="D118" s="56" t="s">
        <v>377</v>
      </c>
      <c r="E118" s="56" t="s">
        <v>66</v>
      </c>
      <c r="F118" s="56"/>
      <c r="G118" s="57" t="s">
        <v>639</v>
      </c>
      <c r="H118" s="64" t="s">
        <v>640</v>
      </c>
      <c r="I118" s="58">
        <v>46164.0</v>
      </c>
    </row>
    <row r="119" ht="15.75" customHeight="1">
      <c r="A119" s="29" t="str">
        <f t="shared" si="7"/>
        <v>05 - MAI - 26 / 22/05 - SEX</v>
      </c>
      <c r="B119" s="55" t="s">
        <v>641</v>
      </c>
      <c r="C119" s="55" t="s">
        <v>86</v>
      </c>
      <c r="D119" s="56" t="s">
        <v>377</v>
      </c>
      <c r="E119" s="56" t="s">
        <v>66</v>
      </c>
      <c r="F119" s="56">
        <v>1880.0</v>
      </c>
      <c r="G119" s="57" t="s">
        <v>642</v>
      </c>
      <c r="H119" s="64" t="s">
        <v>643</v>
      </c>
      <c r="I119" s="58">
        <v>46164.0</v>
      </c>
    </row>
    <row r="120" ht="15.75" customHeight="1">
      <c r="A120" s="29" t="str">
        <f t="shared" si="7"/>
        <v>05 - MAI - 26 / 22/05 - SEX</v>
      </c>
      <c r="B120" s="55" t="s">
        <v>644</v>
      </c>
      <c r="C120" s="55" t="s">
        <v>86</v>
      </c>
      <c r="D120" s="56" t="s">
        <v>377</v>
      </c>
      <c r="E120" s="56" t="s">
        <v>66</v>
      </c>
      <c r="F120" s="56">
        <v>1880.0</v>
      </c>
      <c r="G120" s="57" t="s">
        <v>645</v>
      </c>
      <c r="H120" s="64" t="s">
        <v>646</v>
      </c>
      <c r="I120" s="58">
        <v>46164.0</v>
      </c>
    </row>
    <row r="121" ht="15.75" customHeight="1">
      <c r="A121" s="29" t="str">
        <f t="shared" si="7"/>
        <v>05 - MAI - 26 / 22/05 - SEX</v>
      </c>
      <c r="B121" s="55" t="s">
        <v>647</v>
      </c>
      <c r="C121" s="55" t="s">
        <v>86</v>
      </c>
      <c r="D121" s="56" t="s">
        <v>377</v>
      </c>
      <c r="E121" s="56" t="s">
        <v>66</v>
      </c>
      <c r="F121" s="56"/>
      <c r="G121" s="57" t="s">
        <v>648</v>
      </c>
      <c r="H121" s="64" t="s">
        <v>649</v>
      </c>
      <c r="I121" s="58">
        <v>46163.0</v>
      </c>
    </row>
    <row r="122" ht="15.75" customHeight="1">
      <c r="A122" s="37" t="str">
        <f t="shared" ref="A122:A131" si="8">HYPERLINK("https://drive.google.com/drive/folders/1cNXZK_gTMts6C57fwh1spx3bmVdBiP9x", "05 - MAI - 26 / 21/05 - QUI")</f>
        <v>05 - MAI - 26 / 21/05 - QUI</v>
      </c>
      <c r="B122" s="59" t="s">
        <v>650</v>
      </c>
      <c r="C122" s="59" t="s">
        <v>86</v>
      </c>
      <c r="D122" s="60" t="s">
        <v>66</v>
      </c>
      <c r="E122" s="60" t="s">
        <v>66</v>
      </c>
      <c r="F122" s="60"/>
      <c r="G122" s="61" t="s">
        <v>651</v>
      </c>
      <c r="H122" s="63" t="s">
        <v>652</v>
      </c>
      <c r="I122" s="62">
        <v>46163.0</v>
      </c>
    </row>
    <row r="123" ht="15.75" customHeight="1">
      <c r="A123" s="29" t="str">
        <f t="shared" si="8"/>
        <v>05 - MAI - 26 / 21/05 - QUI</v>
      </c>
      <c r="B123" s="55" t="s">
        <v>653</v>
      </c>
      <c r="C123" s="55" t="s">
        <v>86</v>
      </c>
      <c r="D123" s="56" t="s">
        <v>377</v>
      </c>
      <c r="E123" s="56" t="s">
        <v>316</v>
      </c>
      <c r="F123" s="56"/>
      <c r="G123" s="57" t="s">
        <v>654</v>
      </c>
      <c r="H123" s="64" t="s">
        <v>655</v>
      </c>
      <c r="I123" s="58">
        <v>46163.0</v>
      </c>
    </row>
    <row r="124" ht="15.75" customHeight="1">
      <c r="A124" s="29" t="str">
        <f t="shared" si="8"/>
        <v>05 - MAI - 26 / 21/05 - QUI</v>
      </c>
      <c r="B124" s="55" t="s">
        <v>656</v>
      </c>
      <c r="C124" s="55" t="s">
        <v>86</v>
      </c>
      <c r="D124" s="56" t="s">
        <v>377</v>
      </c>
      <c r="E124" s="56" t="s">
        <v>316</v>
      </c>
      <c r="F124" s="56"/>
      <c r="G124" s="57" t="s">
        <v>657</v>
      </c>
      <c r="H124" s="64" t="s">
        <v>658</v>
      </c>
      <c r="I124" s="58">
        <v>46163.0</v>
      </c>
    </row>
    <row r="125" ht="15.75" customHeight="1">
      <c r="A125" s="29" t="str">
        <f t="shared" si="8"/>
        <v>05 - MAI - 26 / 21/05 - QUI</v>
      </c>
      <c r="B125" s="55" t="s">
        <v>659</v>
      </c>
      <c r="C125" s="55" t="s">
        <v>86</v>
      </c>
      <c r="D125" s="56" t="s">
        <v>377</v>
      </c>
      <c r="E125" s="56" t="s">
        <v>316</v>
      </c>
      <c r="F125" s="56"/>
      <c r="G125" s="57" t="s">
        <v>660</v>
      </c>
      <c r="H125" s="64" t="s">
        <v>661</v>
      </c>
      <c r="I125" s="58">
        <v>46163.0</v>
      </c>
    </row>
    <row r="126" ht="15.75" customHeight="1">
      <c r="A126" s="29" t="str">
        <f t="shared" si="8"/>
        <v>05 - MAI - 26 / 21/05 - QUI</v>
      </c>
      <c r="B126" s="55" t="s">
        <v>662</v>
      </c>
      <c r="C126" s="55" t="s">
        <v>86</v>
      </c>
      <c r="D126" s="56" t="s">
        <v>377</v>
      </c>
      <c r="E126" s="56" t="s">
        <v>316</v>
      </c>
      <c r="F126" s="56"/>
      <c r="G126" s="57" t="s">
        <v>663</v>
      </c>
      <c r="H126" s="64" t="s">
        <v>664</v>
      </c>
      <c r="I126" s="58">
        <v>46163.0</v>
      </c>
    </row>
    <row r="127" ht="15.75" customHeight="1">
      <c r="A127" s="29" t="str">
        <f t="shared" si="8"/>
        <v>05 - MAI - 26 / 21/05 - QUI</v>
      </c>
      <c r="B127" s="55" t="s">
        <v>665</v>
      </c>
      <c r="C127" s="55" t="s">
        <v>86</v>
      </c>
      <c r="D127" s="56" t="s">
        <v>315</v>
      </c>
      <c r="E127" s="56" t="s">
        <v>316</v>
      </c>
      <c r="F127" s="56"/>
      <c r="G127" s="57" t="s">
        <v>666</v>
      </c>
      <c r="H127" s="64" t="s">
        <v>667</v>
      </c>
      <c r="I127" s="58">
        <v>46163.0</v>
      </c>
    </row>
    <row r="128" ht="15.75" customHeight="1">
      <c r="A128" s="29" t="str">
        <f t="shared" si="8"/>
        <v>05 - MAI - 26 / 21/05 - QUI</v>
      </c>
      <c r="B128" s="55" t="s">
        <v>668</v>
      </c>
      <c r="C128" s="55" t="s">
        <v>86</v>
      </c>
      <c r="D128" s="56" t="s">
        <v>315</v>
      </c>
      <c r="E128" s="56" t="s">
        <v>316</v>
      </c>
      <c r="F128" s="56">
        <v>1879.0</v>
      </c>
      <c r="G128" s="57" t="s">
        <v>669</v>
      </c>
      <c r="H128" s="64" t="s">
        <v>670</v>
      </c>
      <c r="I128" s="58">
        <v>46163.0</v>
      </c>
    </row>
    <row r="129" ht="15.75" customHeight="1">
      <c r="A129" s="29" t="str">
        <f t="shared" si="8"/>
        <v>05 - MAI - 26 / 21/05 - QUI</v>
      </c>
      <c r="B129" s="55" t="s">
        <v>671</v>
      </c>
      <c r="C129" s="55" t="s">
        <v>86</v>
      </c>
      <c r="D129" s="56" t="s">
        <v>315</v>
      </c>
      <c r="E129" s="56" t="s">
        <v>316</v>
      </c>
      <c r="F129" s="56">
        <v>1879.0</v>
      </c>
      <c r="G129" s="57" t="s">
        <v>672</v>
      </c>
      <c r="H129" s="64" t="s">
        <v>673</v>
      </c>
      <c r="I129" s="58">
        <v>46163.0</v>
      </c>
    </row>
    <row r="130" ht="15.75" customHeight="1">
      <c r="A130" s="29" t="str">
        <f t="shared" si="8"/>
        <v>05 - MAI - 26 / 21/05 - QUI</v>
      </c>
      <c r="B130" s="55" t="s">
        <v>674</v>
      </c>
      <c r="C130" s="55" t="s">
        <v>86</v>
      </c>
      <c r="D130" s="56" t="s">
        <v>315</v>
      </c>
      <c r="E130" s="56" t="s">
        <v>316</v>
      </c>
      <c r="F130" s="56">
        <v>1879.0</v>
      </c>
      <c r="G130" s="57" t="s">
        <v>675</v>
      </c>
      <c r="H130" s="64" t="s">
        <v>676</v>
      </c>
      <c r="I130" s="58">
        <v>46163.0</v>
      </c>
    </row>
    <row r="131" ht="15.75" customHeight="1">
      <c r="A131" s="29" t="str">
        <f t="shared" si="8"/>
        <v>05 - MAI - 26 / 21/05 - QUI</v>
      </c>
      <c r="B131" s="55" t="s">
        <v>677</v>
      </c>
      <c r="C131" s="55" t="s">
        <v>86</v>
      </c>
      <c r="D131" s="56" t="s">
        <v>315</v>
      </c>
      <c r="E131" s="56" t="s">
        <v>316</v>
      </c>
      <c r="F131" s="56">
        <v>1879.0</v>
      </c>
      <c r="G131" s="57" t="s">
        <v>678</v>
      </c>
      <c r="H131" s="64" t="s">
        <v>679</v>
      </c>
      <c r="I131" s="58">
        <v>46163.0</v>
      </c>
    </row>
    <row r="132" ht="15.75" customHeight="1">
      <c r="A132" s="37" t="str">
        <f t="shared" ref="A132:A141" si="9">HYPERLINK("https://drive.google.com/drive/folders/1FWBNlOCRr1DlWYXIJEgIRDR0PJxaSh0Z", "05 - MAI - 26 / 20/05 - QUA")</f>
        <v>05 - MAI - 26 / 20/05 - QUA</v>
      </c>
      <c r="B132" s="59" t="s">
        <v>680</v>
      </c>
      <c r="C132" s="59" t="s">
        <v>86</v>
      </c>
      <c r="D132" s="60" t="s">
        <v>377</v>
      </c>
      <c r="E132" s="60" t="s">
        <v>316</v>
      </c>
      <c r="F132" s="60"/>
      <c r="G132" s="61" t="s">
        <v>681</v>
      </c>
      <c r="H132" s="63" t="s">
        <v>682</v>
      </c>
      <c r="I132" s="62">
        <v>46162.0</v>
      </c>
    </row>
    <row r="133" ht="15.75" customHeight="1">
      <c r="A133" s="29" t="str">
        <f t="shared" si="9"/>
        <v>05 - MAI - 26 / 20/05 - QUA</v>
      </c>
      <c r="B133" s="55" t="s">
        <v>683</v>
      </c>
      <c r="C133" s="55" t="s">
        <v>86</v>
      </c>
      <c r="D133" s="56" t="s">
        <v>377</v>
      </c>
      <c r="E133" s="56" t="s">
        <v>316</v>
      </c>
      <c r="F133" s="56"/>
      <c r="G133" s="57" t="s">
        <v>684</v>
      </c>
      <c r="H133" s="64" t="s">
        <v>685</v>
      </c>
      <c r="I133" s="58">
        <v>46162.0</v>
      </c>
    </row>
    <row r="134" ht="15.75" customHeight="1">
      <c r="A134" s="29" t="str">
        <f t="shared" si="9"/>
        <v>05 - MAI - 26 / 20/05 - QUA</v>
      </c>
      <c r="B134" s="55" t="s">
        <v>686</v>
      </c>
      <c r="C134" s="55" t="s">
        <v>86</v>
      </c>
      <c r="D134" s="56" t="s">
        <v>377</v>
      </c>
      <c r="E134" s="56" t="s">
        <v>316</v>
      </c>
      <c r="F134" s="56"/>
      <c r="G134" s="57" t="s">
        <v>687</v>
      </c>
      <c r="H134" s="64" t="s">
        <v>688</v>
      </c>
      <c r="I134" s="58">
        <v>46162.0</v>
      </c>
    </row>
    <row r="135" ht="15.75" customHeight="1">
      <c r="A135" s="29" t="str">
        <f t="shared" si="9"/>
        <v>05 - MAI - 26 / 20/05 - QUA</v>
      </c>
      <c r="B135" s="55" t="s">
        <v>689</v>
      </c>
      <c r="C135" s="55" t="s">
        <v>86</v>
      </c>
      <c r="D135" s="56" t="s">
        <v>377</v>
      </c>
      <c r="E135" s="56" t="s">
        <v>316</v>
      </c>
      <c r="F135" s="56"/>
      <c r="G135" s="57" t="s">
        <v>690</v>
      </c>
      <c r="H135" s="64" t="s">
        <v>691</v>
      </c>
      <c r="I135" s="58">
        <v>46162.0</v>
      </c>
    </row>
    <row r="136" ht="15.75" customHeight="1">
      <c r="A136" s="29" t="str">
        <f t="shared" si="9"/>
        <v>05 - MAI - 26 / 20/05 - QUA</v>
      </c>
      <c r="B136" s="55" t="s">
        <v>692</v>
      </c>
      <c r="C136" s="55" t="s">
        <v>602</v>
      </c>
      <c r="D136" s="56" t="s">
        <v>377</v>
      </c>
      <c r="E136" s="56" t="s">
        <v>316</v>
      </c>
      <c r="F136" s="56"/>
      <c r="G136" s="57" t="s">
        <v>693</v>
      </c>
      <c r="H136" s="64" t="s">
        <v>694</v>
      </c>
      <c r="I136" s="58">
        <v>46162.0</v>
      </c>
    </row>
    <row r="137" ht="15.75" customHeight="1">
      <c r="A137" s="29" t="str">
        <f t="shared" si="9"/>
        <v>05 - MAI - 26 / 20/05 - QUA</v>
      </c>
      <c r="B137" s="55" t="s">
        <v>695</v>
      </c>
      <c r="C137" s="55" t="s">
        <v>602</v>
      </c>
      <c r="D137" s="56" t="s">
        <v>315</v>
      </c>
      <c r="E137" s="56" t="s">
        <v>316</v>
      </c>
      <c r="F137" s="56"/>
      <c r="G137" s="57" t="s">
        <v>696</v>
      </c>
      <c r="H137" s="64" t="s">
        <v>697</v>
      </c>
      <c r="I137" s="58">
        <v>46162.0</v>
      </c>
    </row>
    <row r="138" ht="15.75" customHeight="1">
      <c r="A138" s="29" t="str">
        <f t="shared" si="9"/>
        <v>05 - MAI - 26 / 20/05 - QUA</v>
      </c>
      <c r="B138" s="55" t="s">
        <v>698</v>
      </c>
      <c r="C138" s="55" t="s">
        <v>602</v>
      </c>
      <c r="D138" s="56" t="s">
        <v>315</v>
      </c>
      <c r="E138" s="56" t="s">
        <v>316</v>
      </c>
      <c r="F138" s="56">
        <v>1878.0</v>
      </c>
      <c r="G138" s="57" t="s">
        <v>699</v>
      </c>
      <c r="H138" s="64" t="s">
        <v>700</v>
      </c>
      <c r="I138" s="58">
        <v>46162.0</v>
      </c>
    </row>
    <row r="139" ht="15.75" customHeight="1">
      <c r="A139" s="29" t="str">
        <f t="shared" si="9"/>
        <v>05 - MAI - 26 / 20/05 - QUA</v>
      </c>
      <c r="B139" s="55" t="s">
        <v>701</v>
      </c>
      <c r="C139" s="55" t="s">
        <v>602</v>
      </c>
      <c r="D139" s="56" t="s">
        <v>315</v>
      </c>
      <c r="E139" s="56" t="s">
        <v>316</v>
      </c>
      <c r="F139" s="56">
        <v>1878.0</v>
      </c>
      <c r="G139" s="57" t="s">
        <v>702</v>
      </c>
      <c r="H139" s="64" t="s">
        <v>703</v>
      </c>
      <c r="I139" s="58">
        <v>46162.0</v>
      </c>
    </row>
    <row r="140" ht="15.75" customHeight="1">
      <c r="A140" s="29" t="str">
        <f t="shared" si="9"/>
        <v>05 - MAI - 26 / 20/05 - QUA</v>
      </c>
      <c r="B140" s="55" t="s">
        <v>704</v>
      </c>
      <c r="C140" s="55" t="s">
        <v>602</v>
      </c>
      <c r="D140" s="56" t="s">
        <v>315</v>
      </c>
      <c r="E140" s="56" t="s">
        <v>316</v>
      </c>
      <c r="F140" s="56">
        <v>1878.0</v>
      </c>
      <c r="G140" s="57" t="s">
        <v>705</v>
      </c>
      <c r="H140" s="64" t="s">
        <v>706</v>
      </c>
      <c r="I140" s="58">
        <v>46162.0</v>
      </c>
    </row>
    <row r="141" ht="15.75" customHeight="1">
      <c r="A141" s="29" t="str">
        <f t="shared" si="9"/>
        <v>05 - MAI - 26 / 20/05 - QUA</v>
      </c>
      <c r="B141" s="55" t="s">
        <v>707</v>
      </c>
      <c r="C141" s="55" t="s">
        <v>602</v>
      </c>
      <c r="D141" s="56" t="s">
        <v>315</v>
      </c>
      <c r="E141" s="56" t="s">
        <v>316</v>
      </c>
      <c r="F141" s="56">
        <v>1878.0</v>
      </c>
      <c r="G141" s="57" t="s">
        <v>708</v>
      </c>
      <c r="H141" s="64" t="s">
        <v>709</v>
      </c>
      <c r="I141" s="58">
        <v>46162.0</v>
      </c>
    </row>
    <row r="142" ht="15.75" customHeight="1">
      <c r="A142" s="37" t="str">
        <f t="shared" ref="A142:A151" si="10">HYPERLINK("https://drive.google.com/drive/folders/14bR0h1bpYJCpMrURSR15DlgAO0d4y1ZI", "05 - MAI - 26 / 19/05 - TER")</f>
        <v>05 - MAI - 26 / 19/05 - TER</v>
      </c>
      <c r="B142" s="59" t="s">
        <v>710</v>
      </c>
      <c r="C142" s="59" t="s">
        <v>86</v>
      </c>
      <c r="D142" s="60" t="s">
        <v>377</v>
      </c>
      <c r="E142" s="60" t="s">
        <v>316</v>
      </c>
      <c r="F142" s="60"/>
      <c r="G142" s="61" t="s">
        <v>711</v>
      </c>
      <c r="H142" s="63" t="s">
        <v>712</v>
      </c>
      <c r="I142" s="62">
        <v>46161.0</v>
      </c>
    </row>
    <row r="143" ht="15.75" customHeight="1">
      <c r="A143" s="29" t="str">
        <f t="shared" si="10"/>
        <v>05 - MAI - 26 / 19/05 - TER</v>
      </c>
      <c r="B143" s="55" t="s">
        <v>713</v>
      </c>
      <c r="C143" s="55" t="s">
        <v>86</v>
      </c>
      <c r="D143" s="56" t="s">
        <v>377</v>
      </c>
      <c r="E143" s="56" t="s">
        <v>316</v>
      </c>
      <c r="F143" s="56"/>
      <c r="G143" s="57" t="s">
        <v>714</v>
      </c>
      <c r="H143" s="64" t="s">
        <v>715</v>
      </c>
      <c r="I143" s="58">
        <v>46161.0</v>
      </c>
    </row>
    <row r="144" ht="15.75" customHeight="1">
      <c r="A144" s="29" t="str">
        <f t="shared" si="10"/>
        <v>05 - MAI - 26 / 19/05 - TER</v>
      </c>
      <c r="B144" s="55" t="s">
        <v>716</v>
      </c>
      <c r="C144" s="55" t="s">
        <v>86</v>
      </c>
      <c r="D144" s="56" t="s">
        <v>377</v>
      </c>
      <c r="E144" s="56" t="s">
        <v>316</v>
      </c>
      <c r="F144" s="56"/>
      <c r="G144" s="57" t="s">
        <v>717</v>
      </c>
      <c r="H144" s="64" t="s">
        <v>718</v>
      </c>
      <c r="I144" s="58">
        <v>46161.0</v>
      </c>
    </row>
    <row r="145" ht="15.75" customHeight="1">
      <c r="A145" s="29" t="str">
        <f t="shared" si="10"/>
        <v>05 - MAI - 26 / 19/05 - TER</v>
      </c>
      <c r="B145" s="55" t="s">
        <v>719</v>
      </c>
      <c r="C145" s="55" t="s">
        <v>86</v>
      </c>
      <c r="D145" s="56" t="s">
        <v>377</v>
      </c>
      <c r="E145" s="56" t="s">
        <v>316</v>
      </c>
      <c r="F145" s="56">
        <v>1877.0</v>
      </c>
      <c r="G145" s="57" t="s">
        <v>720</v>
      </c>
      <c r="H145" s="64" t="s">
        <v>721</v>
      </c>
      <c r="I145" s="58">
        <v>46161.0</v>
      </c>
    </row>
    <row r="146" ht="15.75" customHeight="1">
      <c r="A146" s="29" t="str">
        <f t="shared" si="10"/>
        <v>05 - MAI - 26 / 19/05 - TER</v>
      </c>
      <c r="B146" s="55" t="s">
        <v>722</v>
      </c>
      <c r="C146" s="55" t="s">
        <v>86</v>
      </c>
      <c r="D146" s="56" t="s">
        <v>377</v>
      </c>
      <c r="E146" s="56" t="s">
        <v>316</v>
      </c>
      <c r="F146" s="56">
        <v>1877.0</v>
      </c>
      <c r="G146" s="57" t="s">
        <v>723</v>
      </c>
      <c r="H146" s="64" t="s">
        <v>724</v>
      </c>
      <c r="I146" s="58">
        <v>46161.0</v>
      </c>
    </row>
    <row r="147" ht="15.75" customHeight="1">
      <c r="A147" s="29" t="str">
        <f t="shared" si="10"/>
        <v>05 - MAI - 26 / 19/05 - TER</v>
      </c>
      <c r="B147" s="55" t="s">
        <v>725</v>
      </c>
      <c r="C147" s="55" t="s">
        <v>86</v>
      </c>
      <c r="D147" s="56" t="s">
        <v>315</v>
      </c>
      <c r="E147" s="56" t="s">
        <v>316</v>
      </c>
      <c r="F147" s="56">
        <v>1877.0</v>
      </c>
      <c r="G147" s="57" t="s">
        <v>726</v>
      </c>
      <c r="H147" s="64" t="s">
        <v>727</v>
      </c>
      <c r="I147" s="58">
        <v>46161.0</v>
      </c>
    </row>
    <row r="148" ht="15.75" customHeight="1">
      <c r="A148" s="29" t="str">
        <f t="shared" si="10"/>
        <v>05 - MAI - 26 / 19/05 - TER</v>
      </c>
      <c r="B148" s="55" t="s">
        <v>728</v>
      </c>
      <c r="C148" s="55" t="s">
        <v>86</v>
      </c>
      <c r="D148" s="56" t="s">
        <v>315</v>
      </c>
      <c r="E148" s="56" t="s">
        <v>316</v>
      </c>
      <c r="F148" s="56">
        <v>1877.0</v>
      </c>
      <c r="G148" s="57" t="s">
        <v>729</v>
      </c>
      <c r="H148" s="64" t="s">
        <v>730</v>
      </c>
      <c r="I148" s="58">
        <v>46161.0</v>
      </c>
    </row>
    <row r="149" ht="15.75" customHeight="1">
      <c r="A149" s="29" t="str">
        <f t="shared" si="10"/>
        <v>05 - MAI - 26 / 19/05 - TER</v>
      </c>
      <c r="B149" s="55" t="s">
        <v>731</v>
      </c>
      <c r="C149" s="55" t="s">
        <v>86</v>
      </c>
      <c r="D149" s="56" t="s">
        <v>315</v>
      </c>
      <c r="E149" s="56" t="s">
        <v>316</v>
      </c>
      <c r="F149" s="56"/>
      <c r="G149" s="57" t="s">
        <v>732</v>
      </c>
      <c r="H149" s="64" t="s">
        <v>733</v>
      </c>
      <c r="I149" s="58">
        <v>46161.0</v>
      </c>
    </row>
    <row r="150" ht="15.75" customHeight="1">
      <c r="A150" s="29" t="str">
        <f t="shared" si="10"/>
        <v>05 - MAI - 26 / 19/05 - TER</v>
      </c>
      <c r="B150" s="55" t="s">
        <v>734</v>
      </c>
      <c r="C150" s="55" t="s">
        <v>86</v>
      </c>
      <c r="D150" s="56" t="s">
        <v>315</v>
      </c>
      <c r="E150" s="56" t="s">
        <v>316</v>
      </c>
      <c r="F150" s="56"/>
      <c r="G150" s="57" t="s">
        <v>735</v>
      </c>
      <c r="H150" s="64" t="s">
        <v>736</v>
      </c>
      <c r="I150" s="58">
        <v>46160.0</v>
      </c>
    </row>
    <row r="151" ht="15.75" customHeight="1">
      <c r="A151" s="29" t="str">
        <f t="shared" si="10"/>
        <v>05 - MAI - 26 / 19/05 - TER</v>
      </c>
      <c r="B151" s="55" t="s">
        <v>737</v>
      </c>
      <c r="C151" s="55" t="s">
        <v>86</v>
      </c>
      <c r="D151" s="56" t="s">
        <v>315</v>
      </c>
      <c r="E151" s="56" t="s">
        <v>316</v>
      </c>
      <c r="F151" s="56"/>
      <c r="G151" s="57" t="s">
        <v>738</v>
      </c>
      <c r="H151" s="64" t="s">
        <v>739</v>
      </c>
      <c r="I151" s="58">
        <v>46160.0</v>
      </c>
    </row>
    <row r="152" ht="15.75" customHeight="1">
      <c r="A152" s="37" t="str">
        <f t="shared" ref="A152:A161" si="11">HYPERLINK("https://drive.google.com/drive/folders/1RLD5xZ_8sXSiWAK-1n0p4KEyWgZx58u_", "05 - MAI - 26 / 18/05 - SEG")</f>
        <v>05 - MAI - 26 / 18/05 - SEG</v>
      </c>
      <c r="B152" s="59" t="s">
        <v>740</v>
      </c>
      <c r="C152" s="59" t="s">
        <v>86</v>
      </c>
      <c r="D152" s="60" t="s">
        <v>377</v>
      </c>
      <c r="E152" s="60" t="s">
        <v>316</v>
      </c>
      <c r="F152" s="60"/>
      <c r="G152" s="61" t="s">
        <v>741</v>
      </c>
      <c r="H152" s="63" t="s">
        <v>742</v>
      </c>
      <c r="I152" s="62">
        <v>46160.0</v>
      </c>
    </row>
    <row r="153" ht="15.75" customHeight="1">
      <c r="A153" s="29" t="str">
        <f t="shared" si="11"/>
        <v>05 - MAI - 26 / 18/05 - SEG</v>
      </c>
      <c r="B153" s="55" t="s">
        <v>743</v>
      </c>
      <c r="C153" s="55" t="s">
        <v>86</v>
      </c>
      <c r="D153" s="56" t="s">
        <v>377</v>
      </c>
      <c r="E153" s="56" t="s">
        <v>316</v>
      </c>
      <c r="F153" s="56"/>
      <c r="G153" s="57" t="s">
        <v>744</v>
      </c>
      <c r="H153" s="64" t="s">
        <v>745</v>
      </c>
      <c r="I153" s="58">
        <v>46160.0</v>
      </c>
    </row>
    <row r="154" ht="15.75" customHeight="1">
      <c r="A154" s="29" t="str">
        <f t="shared" si="11"/>
        <v>05 - MAI - 26 / 18/05 - SEG</v>
      </c>
      <c r="B154" s="55" t="s">
        <v>746</v>
      </c>
      <c r="C154" s="55" t="s">
        <v>602</v>
      </c>
      <c r="D154" s="56" t="s">
        <v>377</v>
      </c>
      <c r="E154" s="56" t="s">
        <v>316</v>
      </c>
      <c r="F154" s="56"/>
      <c r="G154" s="57" t="s">
        <v>747</v>
      </c>
      <c r="H154" s="64" t="s">
        <v>748</v>
      </c>
      <c r="I154" s="58">
        <v>46160.0</v>
      </c>
    </row>
    <row r="155" ht="15.75" customHeight="1">
      <c r="A155" s="29" t="str">
        <f t="shared" si="11"/>
        <v>05 - MAI - 26 / 18/05 - SEG</v>
      </c>
      <c r="B155" s="55" t="s">
        <v>749</v>
      </c>
      <c r="C155" s="55" t="s">
        <v>602</v>
      </c>
      <c r="D155" s="56" t="s">
        <v>377</v>
      </c>
      <c r="E155" s="56" t="s">
        <v>316</v>
      </c>
      <c r="F155" s="56"/>
      <c r="G155" s="57" t="s">
        <v>750</v>
      </c>
      <c r="H155" s="64" t="s">
        <v>751</v>
      </c>
      <c r="I155" s="58">
        <v>46160.0</v>
      </c>
    </row>
    <row r="156" ht="15.75" customHeight="1">
      <c r="A156" s="29" t="str">
        <f t="shared" si="11"/>
        <v>05 - MAI - 26 / 18/05 - SEG</v>
      </c>
      <c r="B156" s="55" t="s">
        <v>752</v>
      </c>
      <c r="C156" s="55" t="s">
        <v>602</v>
      </c>
      <c r="D156" s="56" t="s">
        <v>377</v>
      </c>
      <c r="E156" s="56" t="s">
        <v>316</v>
      </c>
      <c r="F156" s="56">
        <v>1876.0</v>
      </c>
      <c r="G156" s="57" t="s">
        <v>753</v>
      </c>
      <c r="H156" s="64" t="s">
        <v>754</v>
      </c>
      <c r="I156" s="58">
        <v>46160.0</v>
      </c>
    </row>
    <row r="157" ht="15.75" customHeight="1">
      <c r="A157" s="29" t="str">
        <f t="shared" si="11"/>
        <v>05 - MAI - 26 / 18/05 - SEG</v>
      </c>
      <c r="B157" s="55" t="s">
        <v>755</v>
      </c>
      <c r="C157" s="55" t="s">
        <v>602</v>
      </c>
      <c r="D157" s="56" t="s">
        <v>315</v>
      </c>
      <c r="E157" s="56" t="s">
        <v>316</v>
      </c>
      <c r="F157" s="56">
        <v>1846.0</v>
      </c>
      <c r="G157" s="57" t="s">
        <v>756</v>
      </c>
      <c r="H157" s="64" t="s">
        <v>757</v>
      </c>
      <c r="I157" s="58">
        <v>46160.0</v>
      </c>
    </row>
    <row r="158" ht="15.75" customHeight="1">
      <c r="A158" s="29" t="str">
        <f t="shared" si="11"/>
        <v>05 - MAI - 26 / 18/05 - SEG</v>
      </c>
      <c r="B158" s="55" t="s">
        <v>758</v>
      </c>
      <c r="C158" s="55" t="s">
        <v>602</v>
      </c>
      <c r="D158" s="56" t="s">
        <v>315</v>
      </c>
      <c r="E158" s="56" t="s">
        <v>316</v>
      </c>
      <c r="F158" s="56"/>
      <c r="G158" s="57" t="s">
        <v>759</v>
      </c>
      <c r="H158" s="64" t="s">
        <v>760</v>
      </c>
      <c r="I158" s="58">
        <v>46160.0</v>
      </c>
    </row>
    <row r="159" ht="15.75" customHeight="1">
      <c r="A159" s="29" t="str">
        <f t="shared" si="11"/>
        <v>05 - MAI - 26 / 18/05 - SEG</v>
      </c>
      <c r="B159" s="55" t="s">
        <v>761</v>
      </c>
      <c r="C159" s="55" t="s">
        <v>602</v>
      </c>
      <c r="D159" s="56" t="s">
        <v>315</v>
      </c>
      <c r="E159" s="56" t="s">
        <v>316</v>
      </c>
      <c r="F159" s="56"/>
      <c r="G159" s="57" t="s">
        <v>762</v>
      </c>
      <c r="H159" s="64" t="s">
        <v>763</v>
      </c>
      <c r="I159" s="58">
        <v>46160.0</v>
      </c>
    </row>
    <row r="160" ht="15.75" customHeight="1">
      <c r="A160" s="29" t="str">
        <f t="shared" si="11"/>
        <v>05 - MAI - 26 / 18/05 - SEG</v>
      </c>
      <c r="B160" s="55" t="s">
        <v>764</v>
      </c>
      <c r="C160" s="55" t="s">
        <v>602</v>
      </c>
      <c r="D160" s="56" t="s">
        <v>315</v>
      </c>
      <c r="E160" s="56" t="s">
        <v>316</v>
      </c>
      <c r="F160" s="56">
        <v>1876.0</v>
      </c>
      <c r="G160" s="57" t="s">
        <v>765</v>
      </c>
      <c r="H160" s="64" t="s">
        <v>766</v>
      </c>
      <c r="I160" s="58">
        <v>46160.0</v>
      </c>
    </row>
    <row r="161" ht="15.75" customHeight="1">
      <c r="A161" s="29" t="str">
        <f t="shared" si="11"/>
        <v>05 - MAI - 26 / 18/05 - SEG</v>
      </c>
      <c r="B161" s="55" t="s">
        <v>767</v>
      </c>
      <c r="C161" s="55" t="s">
        <v>602</v>
      </c>
      <c r="D161" s="56" t="s">
        <v>315</v>
      </c>
      <c r="E161" s="56" t="s">
        <v>316</v>
      </c>
      <c r="F161" s="56">
        <v>1876.0</v>
      </c>
      <c r="G161" s="57" t="s">
        <v>768</v>
      </c>
      <c r="H161" s="64" t="s">
        <v>769</v>
      </c>
      <c r="I161" s="58">
        <v>46160.0</v>
      </c>
    </row>
    <row r="162" ht="15.75" customHeight="1">
      <c r="A162" s="37" t="str">
        <f t="shared" ref="A162:A171" si="12">HYPERLINK("https://drive.google.com/drive/folders/1MZy8eWPXRYrrPW-6Ynu4bA3KVdwvG21k", "05 - MAI - 26 / 15/05 - SEX")</f>
        <v>05 - MAI - 26 / 15/05 - SEX</v>
      </c>
      <c r="B162" s="59" t="s">
        <v>770</v>
      </c>
      <c r="C162" s="59" t="s">
        <v>602</v>
      </c>
      <c r="D162" s="60" t="s">
        <v>377</v>
      </c>
      <c r="E162" s="60" t="s">
        <v>316</v>
      </c>
      <c r="F162" s="60"/>
      <c r="G162" s="61" t="s">
        <v>771</v>
      </c>
      <c r="H162" s="63" t="s">
        <v>772</v>
      </c>
      <c r="I162" s="62">
        <v>46160.0</v>
      </c>
    </row>
    <row r="163" ht="15.75" customHeight="1">
      <c r="A163" s="29" t="str">
        <f t="shared" si="12"/>
        <v>05 - MAI - 26 / 15/05 - SEX</v>
      </c>
      <c r="B163" s="55" t="s">
        <v>773</v>
      </c>
      <c r="C163" s="55" t="s">
        <v>602</v>
      </c>
      <c r="D163" s="56" t="s">
        <v>377</v>
      </c>
      <c r="E163" s="56" t="s">
        <v>316</v>
      </c>
      <c r="F163" s="56"/>
      <c r="G163" s="57" t="s">
        <v>774</v>
      </c>
      <c r="H163" s="64" t="s">
        <v>775</v>
      </c>
      <c r="I163" s="58">
        <v>46160.0</v>
      </c>
    </row>
    <row r="164" ht="15.75" customHeight="1">
      <c r="A164" s="29" t="str">
        <f t="shared" si="12"/>
        <v>05 - MAI - 26 / 15/05 - SEX</v>
      </c>
      <c r="B164" s="55" t="s">
        <v>776</v>
      </c>
      <c r="C164" s="55" t="s">
        <v>602</v>
      </c>
      <c r="D164" s="56" t="s">
        <v>377</v>
      </c>
      <c r="E164" s="56" t="s">
        <v>316</v>
      </c>
      <c r="F164" s="56"/>
      <c r="G164" s="57" t="s">
        <v>777</v>
      </c>
      <c r="H164" s="64" t="s">
        <v>778</v>
      </c>
      <c r="I164" s="58">
        <v>46160.0</v>
      </c>
    </row>
    <row r="165" ht="15.75" customHeight="1">
      <c r="A165" s="29" t="str">
        <f t="shared" si="12"/>
        <v>05 - MAI - 26 / 15/05 - SEX</v>
      </c>
      <c r="B165" s="55" t="s">
        <v>779</v>
      </c>
      <c r="C165" s="55" t="s">
        <v>602</v>
      </c>
      <c r="D165" s="56" t="s">
        <v>377</v>
      </c>
      <c r="E165" s="56" t="s">
        <v>316</v>
      </c>
      <c r="F165" s="56"/>
      <c r="G165" s="57" t="s">
        <v>780</v>
      </c>
      <c r="H165" s="64" t="s">
        <v>781</v>
      </c>
      <c r="I165" s="58">
        <v>46160.0</v>
      </c>
    </row>
    <row r="166" ht="15.75" customHeight="1">
      <c r="A166" s="29" t="str">
        <f t="shared" si="12"/>
        <v>05 - MAI - 26 / 15/05 - SEX</v>
      </c>
      <c r="B166" s="55" t="s">
        <v>782</v>
      </c>
      <c r="C166" s="55" t="s">
        <v>602</v>
      </c>
      <c r="D166" s="56" t="s">
        <v>377</v>
      </c>
      <c r="E166" s="56" t="s">
        <v>316</v>
      </c>
      <c r="F166" s="56"/>
      <c r="G166" s="57" t="s">
        <v>783</v>
      </c>
      <c r="H166" s="64" t="s">
        <v>784</v>
      </c>
      <c r="I166" s="58">
        <v>46157.0</v>
      </c>
    </row>
    <row r="167" ht="15.75" customHeight="1">
      <c r="A167" s="29" t="str">
        <f t="shared" si="12"/>
        <v>05 - MAI - 26 / 15/05 - SEX</v>
      </c>
      <c r="B167" s="55" t="s">
        <v>785</v>
      </c>
      <c r="C167" s="55" t="s">
        <v>602</v>
      </c>
      <c r="D167" s="56" t="s">
        <v>315</v>
      </c>
      <c r="E167" s="56" t="s">
        <v>316</v>
      </c>
      <c r="F167" s="56"/>
      <c r="G167" s="57" t="s">
        <v>786</v>
      </c>
      <c r="H167" s="64" t="s">
        <v>787</v>
      </c>
      <c r="I167" s="58">
        <v>46157.0</v>
      </c>
    </row>
    <row r="168" ht="15.75" customHeight="1">
      <c r="A168" s="29" t="str">
        <f t="shared" si="12"/>
        <v>05 - MAI - 26 / 15/05 - SEX</v>
      </c>
      <c r="B168" s="55" t="s">
        <v>788</v>
      </c>
      <c r="C168" s="55" t="s">
        <v>602</v>
      </c>
      <c r="D168" s="56" t="s">
        <v>315</v>
      </c>
      <c r="E168" s="56" t="s">
        <v>316</v>
      </c>
      <c r="F168" s="56"/>
      <c r="G168" s="57" t="s">
        <v>789</v>
      </c>
      <c r="H168" s="64" t="s">
        <v>790</v>
      </c>
      <c r="I168" s="58">
        <v>46157.0</v>
      </c>
    </row>
    <row r="169" ht="15.75" customHeight="1">
      <c r="A169" s="29" t="str">
        <f t="shared" si="12"/>
        <v>05 - MAI - 26 / 15/05 - SEX</v>
      </c>
      <c r="B169" s="55" t="s">
        <v>791</v>
      </c>
      <c r="C169" s="55" t="s">
        <v>602</v>
      </c>
      <c r="D169" s="56" t="s">
        <v>315</v>
      </c>
      <c r="E169" s="56" t="s">
        <v>316</v>
      </c>
      <c r="F169" s="56"/>
      <c r="G169" s="57" t="s">
        <v>792</v>
      </c>
      <c r="H169" s="64" t="s">
        <v>793</v>
      </c>
      <c r="I169" s="58">
        <v>46157.0</v>
      </c>
    </row>
    <row r="170" ht="15.75" customHeight="1">
      <c r="A170" s="29" t="str">
        <f t="shared" si="12"/>
        <v>05 - MAI - 26 / 15/05 - SEX</v>
      </c>
      <c r="B170" s="55" t="s">
        <v>794</v>
      </c>
      <c r="C170" s="55" t="s">
        <v>602</v>
      </c>
      <c r="D170" s="56" t="s">
        <v>315</v>
      </c>
      <c r="E170" s="56" t="s">
        <v>316</v>
      </c>
      <c r="F170" s="56"/>
      <c r="G170" s="57" t="s">
        <v>795</v>
      </c>
      <c r="H170" s="64" t="s">
        <v>796</v>
      </c>
      <c r="I170" s="58">
        <v>46157.0</v>
      </c>
    </row>
    <row r="171" ht="15.75" customHeight="1">
      <c r="A171" s="29" t="str">
        <f t="shared" si="12"/>
        <v>05 - MAI - 26 / 15/05 - SEX</v>
      </c>
      <c r="B171" s="55" t="s">
        <v>797</v>
      </c>
      <c r="C171" s="55" t="s">
        <v>602</v>
      </c>
      <c r="D171" s="56" t="s">
        <v>315</v>
      </c>
      <c r="E171" s="56" t="s">
        <v>316</v>
      </c>
      <c r="F171" s="56"/>
      <c r="G171" s="57" t="s">
        <v>798</v>
      </c>
      <c r="H171" s="64" t="s">
        <v>799</v>
      </c>
      <c r="I171" s="58">
        <v>46157.0</v>
      </c>
    </row>
    <row r="172" ht="15.75" customHeight="1">
      <c r="A172" s="37" t="str">
        <f t="shared" ref="A172:A181" si="13">HYPERLINK("https://drive.google.com/drive/folders/1NRsd-gnwDX4I-zDilAXI_yfATKV8l_Nh", "05 - MAI - 26 / 14/05 - QUI")</f>
        <v>05 - MAI - 26 / 14/05 - QUI</v>
      </c>
      <c r="B172" s="59" t="s">
        <v>800</v>
      </c>
      <c r="C172" s="59" t="s">
        <v>86</v>
      </c>
      <c r="D172" s="60" t="s">
        <v>377</v>
      </c>
      <c r="E172" s="60" t="s">
        <v>316</v>
      </c>
      <c r="F172" s="60"/>
      <c r="G172" s="61" t="s">
        <v>801</v>
      </c>
      <c r="H172" s="63" t="s">
        <v>802</v>
      </c>
      <c r="I172" s="62">
        <v>46156.0</v>
      </c>
    </row>
    <row r="173" ht="15.75" customHeight="1">
      <c r="A173" s="29" t="str">
        <f t="shared" si="13"/>
        <v>05 - MAI - 26 / 14/05 - QUI</v>
      </c>
      <c r="B173" s="55" t="s">
        <v>803</v>
      </c>
      <c r="C173" s="55" t="s">
        <v>602</v>
      </c>
      <c r="D173" s="56" t="s">
        <v>377</v>
      </c>
      <c r="E173" s="56" t="s">
        <v>316</v>
      </c>
      <c r="F173" s="56"/>
      <c r="G173" s="57" t="s">
        <v>804</v>
      </c>
      <c r="H173" s="64" t="s">
        <v>805</v>
      </c>
      <c r="I173" s="58">
        <v>46156.0</v>
      </c>
    </row>
    <row r="174" ht="15.75" customHeight="1">
      <c r="A174" s="29" t="str">
        <f t="shared" si="13"/>
        <v>05 - MAI - 26 / 14/05 - QUI</v>
      </c>
      <c r="B174" s="55" t="s">
        <v>806</v>
      </c>
      <c r="C174" s="55" t="s">
        <v>602</v>
      </c>
      <c r="D174" s="56" t="s">
        <v>377</v>
      </c>
      <c r="E174" s="56" t="s">
        <v>316</v>
      </c>
      <c r="F174" s="56"/>
      <c r="G174" s="57" t="s">
        <v>807</v>
      </c>
      <c r="H174" s="64" t="s">
        <v>808</v>
      </c>
      <c r="I174" s="58">
        <v>46156.0</v>
      </c>
    </row>
    <row r="175" ht="15.75" customHeight="1">
      <c r="A175" s="29" t="str">
        <f t="shared" si="13"/>
        <v>05 - MAI - 26 / 14/05 - QUI</v>
      </c>
      <c r="B175" s="55" t="s">
        <v>809</v>
      </c>
      <c r="C175" s="55" t="s">
        <v>602</v>
      </c>
      <c r="D175" s="56" t="s">
        <v>377</v>
      </c>
      <c r="E175" s="56" t="s">
        <v>316</v>
      </c>
      <c r="F175" s="56"/>
      <c r="G175" s="57" t="s">
        <v>810</v>
      </c>
      <c r="H175" s="64" t="s">
        <v>811</v>
      </c>
      <c r="I175" s="58">
        <v>46156.0</v>
      </c>
    </row>
    <row r="176" ht="15.75" customHeight="1">
      <c r="A176" s="29" t="str">
        <f t="shared" si="13"/>
        <v>05 - MAI - 26 / 14/05 - QUI</v>
      </c>
      <c r="B176" s="55" t="s">
        <v>812</v>
      </c>
      <c r="C176" s="55" t="s">
        <v>602</v>
      </c>
      <c r="D176" s="56" t="s">
        <v>377</v>
      </c>
      <c r="E176" s="56" t="s">
        <v>316</v>
      </c>
      <c r="F176" s="56"/>
      <c r="G176" s="57" t="s">
        <v>813</v>
      </c>
      <c r="H176" s="64" t="s">
        <v>814</v>
      </c>
      <c r="I176" s="58">
        <v>46156.0</v>
      </c>
    </row>
    <row r="177" ht="15.75" customHeight="1">
      <c r="A177" s="29" t="str">
        <f t="shared" si="13"/>
        <v>05 - MAI - 26 / 14/05 - QUI</v>
      </c>
      <c r="B177" s="55" t="s">
        <v>815</v>
      </c>
      <c r="C177" s="55" t="s">
        <v>602</v>
      </c>
      <c r="D177" s="56" t="s">
        <v>315</v>
      </c>
      <c r="E177" s="56" t="s">
        <v>316</v>
      </c>
      <c r="F177" s="56"/>
      <c r="G177" s="57" t="s">
        <v>816</v>
      </c>
      <c r="H177" s="64" t="s">
        <v>817</v>
      </c>
      <c r="I177" s="58">
        <v>46156.0</v>
      </c>
    </row>
    <row r="178" ht="15.75" customHeight="1">
      <c r="A178" s="29" t="str">
        <f t="shared" si="13"/>
        <v>05 - MAI - 26 / 14/05 - QUI</v>
      </c>
      <c r="B178" s="55" t="s">
        <v>818</v>
      </c>
      <c r="C178" s="55" t="s">
        <v>602</v>
      </c>
      <c r="D178" s="56" t="s">
        <v>315</v>
      </c>
      <c r="E178" s="56" t="s">
        <v>316</v>
      </c>
      <c r="F178" s="56">
        <v>1874.0</v>
      </c>
      <c r="G178" s="57" t="s">
        <v>819</v>
      </c>
      <c r="H178" s="64" t="s">
        <v>820</v>
      </c>
      <c r="I178" s="58">
        <v>46156.0</v>
      </c>
    </row>
    <row r="179" ht="15.75" customHeight="1">
      <c r="A179" s="29" t="str">
        <f t="shared" si="13"/>
        <v>05 - MAI - 26 / 14/05 - QUI</v>
      </c>
      <c r="B179" s="55" t="s">
        <v>821</v>
      </c>
      <c r="C179" s="55" t="s">
        <v>602</v>
      </c>
      <c r="D179" s="56" t="s">
        <v>315</v>
      </c>
      <c r="E179" s="56" t="s">
        <v>316</v>
      </c>
      <c r="F179" s="56">
        <v>1874.0</v>
      </c>
      <c r="G179" s="57" t="s">
        <v>822</v>
      </c>
      <c r="H179" s="64" t="s">
        <v>823</v>
      </c>
      <c r="I179" s="58">
        <v>46156.0</v>
      </c>
    </row>
    <row r="180" ht="15.75" customHeight="1">
      <c r="A180" s="29" t="str">
        <f t="shared" si="13"/>
        <v>05 - MAI - 26 / 14/05 - QUI</v>
      </c>
      <c r="B180" s="55" t="s">
        <v>824</v>
      </c>
      <c r="C180" s="55" t="s">
        <v>602</v>
      </c>
      <c r="D180" s="56" t="s">
        <v>315</v>
      </c>
      <c r="E180" s="56" t="s">
        <v>316</v>
      </c>
      <c r="F180" s="56">
        <v>1874.0</v>
      </c>
      <c r="G180" s="57" t="s">
        <v>825</v>
      </c>
      <c r="H180" s="64" t="s">
        <v>826</v>
      </c>
      <c r="I180" s="58">
        <v>46156.0</v>
      </c>
    </row>
    <row r="181" ht="15.75" customHeight="1">
      <c r="A181" s="29" t="str">
        <f t="shared" si="13"/>
        <v>05 - MAI - 26 / 14/05 - QUI</v>
      </c>
      <c r="B181" s="55" t="s">
        <v>827</v>
      </c>
      <c r="C181" s="55" t="s">
        <v>602</v>
      </c>
      <c r="D181" s="56" t="s">
        <v>315</v>
      </c>
      <c r="E181" s="56" t="s">
        <v>316</v>
      </c>
      <c r="F181" s="56">
        <v>1874.0</v>
      </c>
      <c r="G181" s="57" t="s">
        <v>828</v>
      </c>
      <c r="H181" s="64" t="s">
        <v>829</v>
      </c>
      <c r="I181" s="58">
        <v>46156.0</v>
      </c>
    </row>
    <row r="182" ht="15.75" customHeight="1">
      <c r="A182" s="37" t="str">
        <f t="shared" ref="A182:A191" si="14">HYPERLINK("https://drive.google.com/drive/folders/1htbps16DUYTB5JpYdk6rT-IUgW4N7B49", "05 - MAI - 26 / 13/05 - QUA")</f>
        <v>05 - MAI - 26 / 13/05 - QUA</v>
      </c>
      <c r="B182" s="59" t="s">
        <v>830</v>
      </c>
      <c r="C182" s="59" t="s">
        <v>602</v>
      </c>
      <c r="D182" s="60" t="s">
        <v>377</v>
      </c>
      <c r="E182" s="60" t="s">
        <v>316</v>
      </c>
      <c r="F182" s="60"/>
      <c r="G182" s="61" t="s">
        <v>831</v>
      </c>
      <c r="H182" s="63" t="s">
        <v>832</v>
      </c>
      <c r="I182" s="62">
        <v>46156.0</v>
      </c>
    </row>
    <row r="183" ht="15.75" customHeight="1">
      <c r="A183" s="29" t="str">
        <f t="shared" si="14"/>
        <v>05 - MAI - 26 / 13/05 - QUA</v>
      </c>
      <c r="B183" s="55" t="s">
        <v>833</v>
      </c>
      <c r="C183" s="55" t="s">
        <v>602</v>
      </c>
      <c r="D183" s="56" t="s">
        <v>377</v>
      </c>
      <c r="E183" s="56" t="s">
        <v>316</v>
      </c>
      <c r="F183" s="56"/>
      <c r="G183" s="57" t="s">
        <v>834</v>
      </c>
      <c r="H183" s="64" t="s">
        <v>835</v>
      </c>
      <c r="I183" s="58">
        <v>46156.0</v>
      </c>
    </row>
    <row r="184" ht="15.75" customHeight="1">
      <c r="A184" s="29" t="str">
        <f t="shared" si="14"/>
        <v>05 - MAI - 26 / 13/05 - QUA</v>
      </c>
      <c r="B184" s="55" t="s">
        <v>836</v>
      </c>
      <c r="C184" s="55" t="s">
        <v>602</v>
      </c>
      <c r="D184" s="56" t="s">
        <v>377</v>
      </c>
      <c r="E184" s="56" t="s">
        <v>316</v>
      </c>
      <c r="F184" s="56"/>
      <c r="G184" s="57" t="s">
        <v>837</v>
      </c>
      <c r="H184" s="64" t="s">
        <v>838</v>
      </c>
      <c r="I184" s="58">
        <v>46156.0</v>
      </c>
    </row>
    <row r="185" ht="15.75" customHeight="1">
      <c r="A185" s="29" t="str">
        <f t="shared" si="14"/>
        <v>05 - MAI - 26 / 13/05 - QUA</v>
      </c>
      <c r="B185" s="55" t="s">
        <v>839</v>
      </c>
      <c r="C185" s="55" t="s">
        <v>602</v>
      </c>
      <c r="D185" s="56" t="s">
        <v>377</v>
      </c>
      <c r="E185" s="56" t="s">
        <v>316</v>
      </c>
      <c r="F185" s="56"/>
      <c r="G185" s="57" t="s">
        <v>840</v>
      </c>
      <c r="H185" s="64" t="s">
        <v>841</v>
      </c>
      <c r="I185" s="58">
        <v>46156.0</v>
      </c>
    </row>
    <row r="186" ht="15.75" customHeight="1">
      <c r="A186" s="29" t="str">
        <f t="shared" si="14"/>
        <v>05 - MAI - 26 / 13/05 - QUA</v>
      </c>
      <c r="B186" s="55" t="s">
        <v>842</v>
      </c>
      <c r="C186" s="55" t="s">
        <v>602</v>
      </c>
      <c r="D186" s="56" t="s">
        <v>377</v>
      </c>
      <c r="E186" s="56" t="s">
        <v>316</v>
      </c>
      <c r="F186" s="56"/>
      <c r="G186" s="57" t="s">
        <v>843</v>
      </c>
      <c r="H186" s="64" t="s">
        <v>844</v>
      </c>
      <c r="I186" s="58">
        <v>46156.0</v>
      </c>
    </row>
    <row r="187" ht="15.75" customHeight="1">
      <c r="A187" s="29" t="str">
        <f t="shared" si="14"/>
        <v>05 - MAI - 26 / 13/05 - QUA</v>
      </c>
      <c r="B187" s="55" t="s">
        <v>845</v>
      </c>
      <c r="C187" s="55" t="s">
        <v>602</v>
      </c>
      <c r="D187" s="56" t="s">
        <v>315</v>
      </c>
      <c r="E187" s="56" t="s">
        <v>316</v>
      </c>
      <c r="F187" s="56"/>
      <c r="G187" s="57" t="s">
        <v>846</v>
      </c>
      <c r="H187" s="64" t="s">
        <v>847</v>
      </c>
      <c r="I187" s="58">
        <v>46156.0</v>
      </c>
    </row>
    <row r="188" ht="15.75" customHeight="1">
      <c r="A188" s="29" t="str">
        <f t="shared" si="14"/>
        <v>05 - MAI - 26 / 13/05 - QUA</v>
      </c>
      <c r="B188" s="55" t="s">
        <v>848</v>
      </c>
      <c r="C188" s="55" t="s">
        <v>602</v>
      </c>
      <c r="D188" s="56" t="s">
        <v>315</v>
      </c>
      <c r="E188" s="56" t="s">
        <v>316</v>
      </c>
      <c r="F188" s="56">
        <v>1873.0</v>
      </c>
      <c r="G188" s="57" t="s">
        <v>849</v>
      </c>
      <c r="H188" s="64" t="s">
        <v>850</v>
      </c>
      <c r="I188" s="58">
        <v>46156.0</v>
      </c>
    </row>
    <row r="189" ht="15.75" customHeight="1">
      <c r="A189" s="29" t="str">
        <f t="shared" si="14"/>
        <v>05 - MAI - 26 / 13/05 - QUA</v>
      </c>
      <c r="B189" s="55" t="s">
        <v>851</v>
      </c>
      <c r="C189" s="55" t="s">
        <v>602</v>
      </c>
      <c r="D189" s="56" t="s">
        <v>315</v>
      </c>
      <c r="E189" s="56" t="s">
        <v>316</v>
      </c>
      <c r="F189" s="56">
        <v>1873.0</v>
      </c>
      <c r="G189" s="57" t="s">
        <v>852</v>
      </c>
      <c r="H189" s="64" t="s">
        <v>853</v>
      </c>
      <c r="I189" s="58">
        <v>46156.0</v>
      </c>
    </row>
    <row r="190" ht="15.75" customHeight="1">
      <c r="A190" s="29" t="str">
        <f t="shared" si="14"/>
        <v>05 - MAI - 26 / 13/05 - QUA</v>
      </c>
      <c r="B190" s="55" t="s">
        <v>854</v>
      </c>
      <c r="C190" s="55" t="s">
        <v>602</v>
      </c>
      <c r="D190" s="56" t="s">
        <v>315</v>
      </c>
      <c r="E190" s="56" t="s">
        <v>316</v>
      </c>
      <c r="F190" s="56">
        <v>1873.0</v>
      </c>
      <c r="G190" s="57" t="s">
        <v>855</v>
      </c>
      <c r="H190" s="64" t="s">
        <v>856</v>
      </c>
      <c r="I190" s="58">
        <v>46156.0</v>
      </c>
    </row>
    <row r="191" ht="15.75" customHeight="1">
      <c r="A191" s="29" t="str">
        <f t="shared" si="14"/>
        <v>05 - MAI - 26 / 13/05 - QUA</v>
      </c>
      <c r="B191" s="55" t="s">
        <v>857</v>
      </c>
      <c r="C191" s="55" t="s">
        <v>602</v>
      </c>
      <c r="D191" s="56" t="s">
        <v>315</v>
      </c>
      <c r="E191" s="56" t="s">
        <v>316</v>
      </c>
      <c r="F191" s="56">
        <v>1873.0</v>
      </c>
      <c r="G191" s="57" t="s">
        <v>858</v>
      </c>
      <c r="H191" s="64" t="s">
        <v>859</v>
      </c>
      <c r="I191" s="58">
        <v>46156.0</v>
      </c>
    </row>
    <row r="192" ht="15.75" customHeight="1">
      <c r="A192" s="37" t="str">
        <f t="shared" ref="A192:A201" si="15">HYPERLINK("https://drive.google.com/drive/folders/1BhOW__KvYacyAgaUSSBZI0C0cS8zG7hy", "05 - MAI - 26 / 12/05 - TER")</f>
        <v>05 - MAI - 26 / 12/05 - TER</v>
      </c>
      <c r="B192" s="59" t="s">
        <v>860</v>
      </c>
      <c r="C192" s="59" t="s">
        <v>86</v>
      </c>
      <c r="D192" s="60" t="s">
        <v>315</v>
      </c>
      <c r="E192" s="60" t="s">
        <v>316</v>
      </c>
      <c r="F192" s="60"/>
      <c r="G192" s="61" t="s">
        <v>861</v>
      </c>
      <c r="H192" s="63" t="s">
        <v>862</v>
      </c>
      <c r="I192" s="62">
        <v>46154.0</v>
      </c>
    </row>
    <row r="193" ht="15.75" customHeight="1">
      <c r="A193" s="29" t="str">
        <f t="shared" si="15"/>
        <v>05 - MAI - 26 / 12/05 - TER</v>
      </c>
      <c r="B193" s="55" t="s">
        <v>863</v>
      </c>
      <c r="C193" s="55" t="s">
        <v>86</v>
      </c>
      <c r="D193" s="56" t="s">
        <v>315</v>
      </c>
      <c r="E193" s="56" t="s">
        <v>316</v>
      </c>
      <c r="F193" s="56"/>
      <c r="G193" s="57" t="s">
        <v>864</v>
      </c>
      <c r="H193" s="64" t="s">
        <v>865</v>
      </c>
      <c r="I193" s="58">
        <v>46154.0</v>
      </c>
    </row>
    <row r="194" ht="15.75" customHeight="1">
      <c r="A194" s="29" t="str">
        <f t="shared" si="15"/>
        <v>05 - MAI - 26 / 12/05 - TER</v>
      </c>
      <c r="B194" s="55" t="s">
        <v>866</v>
      </c>
      <c r="C194" s="55" t="s">
        <v>86</v>
      </c>
      <c r="D194" s="56" t="s">
        <v>315</v>
      </c>
      <c r="E194" s="56" t="s">
        <v>316</v>
      </c>
      <c r="F194" s="56"/>
      <c r="G194" s="57" t="s">
        <v>867</v>
      </c>
      <c r="H194" s="64" t="s">
        <v>868</v>
      </c>
      <c r="I194" s="58">
        <v>46154.0</v>
      </c>
    </row>
    <row r="195" ht="15.75" customHeight="1">
      <c r="A195" s="29" t="str">
        <f t="shared" si="15"/>
        <v>05 - MAI - 26 / 12/05 - TER</v>
      </c>
      <c r="B195" s="55" t="s">
        <v>869</v>
      </c>
      <c r="C195" s="55" t="s">
        <v>86</v>
      </c>
      <c r="D195" s="56" t="s">
        <v>315</v>
      </c>
      <c r="E195" s="56" t="s">
        <v>316</v>
      </c>
      <c r="F195" s="56"/>
      <c r="G195" s="57" t="s">
        <v>870</v>
      </c>
      <c r="H195" s="64" t="s">
        <v>871</v>
      </c>
      <c r="I195" s="58">
        <v>46154.0</v>
      </c>
    </row>
    <row r="196" ht="15.75" customHeight="1">
      <c r="A196" s="29" t="str">
        <f t="shared" si="15"/>
        <v>05 - MAI - 26 / 12/05 - TER</v>
      </c>
      <c r="B196" s="55" t="s">
        <v>872</v>
      </c>
      <c r="C196" s="55" t="s">
        <v>86</v>
      </c>
      <c r="D196" s="56" t="s">
        <v>315</v>
      </c>
      <c r="E196" s="56" t="s">
        <v>316</v>
      </c>
      <c r="F196" s="56">
        <v>1872.0</v>
      </c>
      <c r="G196" s="57" t="s">
        <v>873</v>
      </c>
      <c r="H196" s="64" t="s">
        <v>874</v>
      </c>
      <c r="I196" s="58">
        <v>46154.0</v>
      </c>
    </row>
    <row r="197" ht="15.75" customHeight="1">
      <c r="A197" s="29" t="str">
        <f t="shared" si="15"/>
        <v>05 - MAI - 26 / 12/05 - TER</v>
      </c>
      <c r="B197" s="55" t="s">
        <v>875</v>
      </c>
      <c r="C197" s="55" t="s">
        <v>86</v>
      </c>
      <c r="D197" s="56" t="s">
        <v>377</v>
      </c>
      <c r="E197" s="56" t="s">
        <v>316</v>
      </c>
      <c r="F197" s="56">
        <v>1872.0</v>
      </c>
      <c r="G197" s="57" t="s">
        <v>876</v>
      </c>
      <c r="H197" s="64" t="s">
        <v>877</v>
      </c>
      <c r="I197" s="58">
        <v>46154.0</v>
      </c>
    </row>
    <row r="198" ht="15.75" customHeight="1">
      <c r="A198" s="29" t="str">
        <f t="shared" si="15"/>
        <v>05 - MAI - 26 / 12/05 - TER</v>
      </c>
      <c r="B198" s="55" t="s">
        <v>878</v>
      </c>
      <c r="C198" s="55" t="s">
        <v>86</v>
      </c>
      <c r="D198" s="56" t="s">
        <v>377</v>
      </c>
      <c r="E198" s="56" t="s">
        <v>316</v>
      </c>
      <c r="F198" s="56"/>
      <c r="G198" s="57" t="s">
        <v>879</v>
      </c>
      <c r="H198" s="64" t="s">
        <v>880</v>
      </c>
      <c r="I198" s="58">
        <v>46153.0</v>
      </c>
    </row>
    <row r="199" ht="15.75" customHeight="1">
      <c r="A199" s="29" t="str">
        <f t="shared" si="15"/>
        <v>05 - MAI - 26 / 12/05 - TER</v>
      </c>
      <c r="B199" s="55" t="s">
        <v>881</v>
      </c>
      <c r="C199" s="55" t="s">
        <v>86</v>
      </c>
      <c r="D199" s="56" t="s">
        <v>377</v>
      </c>
      <c r="E199" s="56" t="s">
        <v>316</v>
      </c>
      <c r="F199" s="56">
        <v>1872.0</v>
      </c>
      <c r="G199" s="57" t="s">
        <v>882</v>
      </c>
      <c r="H199" s="64" t="s">
        <v>883</v>
      </c>
      <c r="I199" s="58">
        <v>46153.0</v>
      </c>
    </row>
    <row r="200" ht="15.75" customHeight="1">
      <c r="A200" s="29" t="str">
        <f t="shared" si="15"/>
        <v>05 - MAI - 26 / 12/05 - TER</v>
      </c>
      <c r="B200" s="55" t="s">
        <v>884</v>
      </c>
      <c r="C200" s="55" t="s">
        <v>86</v>
      </c>
      <c r="D200" s="56" t="s">
        <v>377</v>
      </c>
      <c r="E200" s="56" t="s">
        <v>316</v>
      </c>
      <c r="F200" s="56">
        <v>1872.0</v>
      </c>
      <c r="G200" s="57" t="s">
        <v>885</v>
      </c>
      <c r="H200" s="64" t="s">
        <v>886</v>
      </c>
      <c r="I200" s="58">
        <v>46153.0</v>
      </c>
    </row>
    <row r="201" ht="15.75" customHeight="1">
      <c r="A201" s="29" t="str">
        <f t="shared" si="15"/>
        <v>05 - MAI - 26 / 12/05 - TER</v>
      </c>
      <c r="B201" s="55" t="s">
        <v>887</v>
      </c>
      <c r="C201" s="55" t="s">
        <v>86</v>
      </c>
      <c r="D201" s="56" t="s">
        <v>377</v>
      </c>
      <c r="E201" s="56" t="s">
        <v>316</v>
      </c>
      <c r="F201" s="56"/>
      <c r="G201" s="57" t="s">
        <v>888</v>
      </c>
      <c r="H201" s="64" t="s">
        <v>889</v>
      </c>
      <c r="I201" s="58">
        <v>46153.0</v>
      </c>
    </row>
    <row r="202" ht="15.75" customHeight="1">
      <c r="A202" s="37" t="str">
        <f t="shared" ref="A202:A211" si="16">HYPERLINK("https://drive.google.com/drive/folders/1HTsMnEGGrN0h7vvRUOFjDv2VJIDo-C_8", "05 - MAI - 26 / 11/05 - SEG")</f>
        <v>05 - MAI - 26 / 11/05 - SEG</v>
      </c>
      <c r="B202" s="59" t="s">
        <v>890</v>
      </c>
      <c r="C202" s="59" t="s">
        <v>86</v>
      </c>
      <c r="D202" s="60" t="s">
        <v>315</v>
      </c>
      <c r="E202" s="60" t="s">
        <v>316</v>
      </c>
      <c r="F202" s="60"/>
      <c r="G202" s="61" t="s">
        <v>891</v>
      </c>
      <c r="H202" s="63" t="s">
        <v>892</v>
      </c>
      <c r="I202" s="62">
        <v>46153.0</v>
      </c>
    </row>
    <row r="203" ht="15.75" customHeight="1">
      <c r="A203" s="29" t="str">
        <f t="shared" si="16"/>
        <v>05 - MAI - 26 / 11/05 - SEG</v>
      </c>
      <c r="B203" s="55" t="s">
        <v>893</v>
      </c>
      <c r="C203" s="55" t="s">
        <v>86</v>
      </c>
      <c r="D203" s="56" t="s">
        <v>315</v>
      </c>
      <c r="E203" s="56" t="s">
        <v>316</v>
      </c>
      <c r="F203" s="56"/>
      <c r="G203" s="57" t="s">
        <v>894</v>
      </c>
      <c r="H203" s="64" t="s">
        <v>895</v>
      </c>
      <c r="I203" s="58">
        <v>46153.0</v>
      </c>
    </row>
    <row r="204" ht="15.75" customHeight="1">
      <c r="A204" s="29" t="str">
        <f t="shared" si="16"/>
        <v>05 - MAI - 26 / 11/05 - SEG</v>
      </c>
      <c r="B204" s="55" t="s">
        <v>896</v>
      </c>
      <c r="C204" s="55" t="s">
        <v>86</v>
      </c>
      <c r="D204" s="56" t="s">
        <v>315</v>
      </c>
      <c r="E204" s="56" t="s">
        <v>316</v>
      </c>
      <c r="F204" s="56"/>
      <c r="G204" s="57" t="s">
        <v>897</v>
      </c>
      <c r="H204" s="64" t="s">
        <v>898</v>
      </c>
      <c r="I204" s="58">
        <v>46153.0</v>
      </c>
    </row>
    <row r="205" ht="15.75" customHeight="1">
      <c r="A205" s="29" t="str">
        <f t="shared" si="16"/>
        <v>05 - MAI - 26 / 11/05 - SEG</v>
      </c>
      <c r="B205" s="55" t="s">
        <v>899</v>
      </c>
      <c r="C205" s="55" t="s">
        <v>86</v>
      </c>
      <c r="D205" s="56" t="s">
        <v>315</v>
      </c>
      <c r="E205" s="56" t="s">
        <v>316</v>
      </c>
      <c r="F205" s="56"/>
      <c r="G205" s="57" t="s">
        <v>900</v>
      </c>
      <c r="H205" s="64" t="s">
        <v>901</v>
      </c>
      <c r="I205" s="58">
        <v>46153.0</v>
      </c>
    </row>
    <row r="206" ht="15.75" customHeight="1">
      <c r="A206" s="29" t="str">
        <f t="shared" si="16"/>
        <v>05 - MAI - 26 / 11/05 - SEG</v>
      </c>
      <c r="B206" s="55" t="s">
        <v>902</v>
      </c>
      <c r="C206" s="55" t="s">
        <v>86</v>
      </c>
      <c r="D206" s="56" t="s">
        <v>315</v>
      </c>
      <c r="E206" s="56" t="s">
        <v>316</v>
      </c>
      <c r="F206" s="56"/>
      <c r="G206" s="57" t="s">
        <v>903</v>
      </c>
      <c r="H206" s="64" t="s">
        <v>904</v>
      </c>
      <c r="I206" s="58">
        <v>46153.0</v>
      </c>
    </row>
    <row r="207" ht="15.75" customHeight="1">
      <c r="A207" s="29" t="str">
        <f t="shared" si="16"/>
        <v>05 - MAI - 26 / 11/05 - SEG</v>
      </c>
      <c r="B207" s="55" t="s">
        <v>905</v>
      </c>
      <c r="C207" s="55" t="s">
        <v>86</v>
      </c>
      <c r="D207" s="56" t="s">
        <v>377</v>
      </c>
      <c r="E207" s="56" t="s">
        <v>316</v>
      </c>
      <c r="F207" s="56"/>
      <c r="G207" s="57" t="s">
        <v>906</v>
      </c>
      <c r="H207" s="64" t="s">
        <v>907</v>
      </c>
      <c r="I207" s="58">
        <v>46153.0</v>
      </c>
    </row>
    <row r="208" ht="15.75" customHeight="1">
      <c r="A208" s="29" t="str">
        <f t="shared" si="16"/>
        <v>05 - MAI - 26 / 11/05 - SEG</v>
      </c>
      <c r="B208" s="55" t="s">
        <v>908</v>
      </c>
      <c r="C208" s="55" t="s">
        <v>86</v>
      </c>
      <c r="D208" s="56" t="s">
        <v>377</v>
      </c>
      <c r="E208" s="56" t="s">
        <v>316</v>
      </c>
      <c r="F208" s="56">
        <v>1871.0</v>
      </c>
      <c r="G208" s="57" t="s">
        <v>909</v>
      </c>
      <c r="H208" s="64" t="s">
        <v>910</v>
      </c>
      <c r="I208" s="58">
        <v>46153.0</v>
      </c>
    </row>
    <row r="209" ht="15.75" customHeight="1">
      <c r="A209" s="29" t="str">
        <f t="shared" si="16"/>
        <v>05 - MAI - 26 / 11/05 - SEG</v>
      </c>
      <c r="B209" s="55" t="s">
        <v>911</v>
      </c>
      <c r="C209" s="55" t="s">
        <v>86</v>
      </c>
      <c r="D209" s="56" t="s">
        <v>377</v>
      </c>
      <c r="E209" s="56" t="s">
        <v>316</v>
      </c>
      <c r="F209" s="56">
        <v>1871.0</v>
      </c>
      <c r="G209" s="57" t="s">
        <v>912</v>
      </c>
      <c r="H209" s="64" t="s">
        <v>913</v>
      </c>
      <c r="I209" s="58">
        <v>46153.0</v>
      </c>
    </row>
    <row r="210" ht="15.75" customHeight="1">
      <c r="A210" s="29" t="str">
        <f t="shared" si="16"/>
        <v>05 - MAI - 26 / 11/05 - SEG</v>
      </c>
      <c r="B210" s="55" t="s">
        <v>914</v>
      </c>
      <c r="C210" s="55" t="s">
        <v>86</v>
      </c>
      <c r="D210" s="56" t="s">
        <v>377</v>
      </c>
      <c r="E210" s="56" t="s">
        <v>316</v>
      </c>
      <c r="F210" s="56">
        <v>1871.0</v>
      </c>
      <c r="G210" s="57" t="s">
        <v>915</v>
      </c>
      <c r="H210" s="64" t="s">
        <v>916</v>
      </c>
      <c r="I210" s="58">
        <v>46153.0</v>
      </c>
    </row>
    <row r="211" ht="15.75" customHeight="1">
      <c r="A211" s="29" t="str">
        <f t="shared" si="16"/>
        <v>05 - MAI - 26 / 11/05 - SEG</v>
      </c>
      <c r="B211" s="55" t="s">
        <v>917</v>
      </c>
      <c r="C211" s="55" t="s">
        <v>86</v>
      </c>
      <c r="D211" s="56" t="s">
        <v>377</v>
      </c>
      <c r="E211" s="56" t="s">
        <v>316</v>
      </c>
      <c r="F211" s="56">
        <v>1871.0</v>
      </c>
      <c r="G211" s="57" t="s">
        <v>918</v>
      </c>
      <c r="H211" s="64" t="s">
        <v>919</v>
      </c>
      <c r="I211" s="58">
        <v>46153.0</v>
      </c>
    </row>
    <row r="212" ht="15.75" customHeight="1">
      <c r="A212" s="37" t="str">
        <f t="shared" ref="A212:A221" si="17">HYPERLINK("https://drive.google.com/drive/folders/1XUwfUUUb2hasWXvJXCBlICJtO3vFzW4f", "05 - MAI - 26 / 08/05 - SEX")</f>
        <v>05 - MAI - 26 / 08/05 - SEX</v>
      </c>
      <c r="B212" s="59" t="s">
        <v>920</v>
      </c>
      <c r="C212" s="59" t="s">
        <v>86</v>
      </c>
      <c r="D212" s="60" t="s">
        <v>377</v>
      </c>
      <c r="E212" s="60" t="s">
        <v>316</v>
      </c>
      <c r="F212" s="60"/>
      <c r="G212" s="61" t="s">
        <v>921</v>
      </c>
      <c r="H212" s="63" t="s">
        <v>922</v>
      </c>
      <c r="I212" s="62">
        <v>46153.0</v>
      </c>
    </row>
    <row r="213" ht="15.75" customHeight="1">
      <c r="A213" s="29" t="str">
        <f t="shared" si="17"/>
        <v>05 - MAI - 26 / 08/05 - SEX</v>
      </c>
      <c r="B213" s="55" t="s">
        <v>923</v>
      </c>
      <c r="C213" s="55" t="s">
        <v>86</v>
      </c>
      <c r="D213" s="56" t="s">
        <v>377</v>
      </c>
      <c r="E213" s="56" t="s">
        <v>316</v>
      </c>
      <c r="F213" s="56"/>
      <c r="G213" s="57" t="s">
        <v>924</v>
      </c>
      <c r="H213" s="64" t="s">
        <v>925</v>
      </c>
      <c r="I213" s="58">
        <v>46153.0</v>
      </c>
    </row>
    <row r="214" ht="15.75" customHeight="1">
      <c r="A214" s="29" t="str">
        <f t="shared" si="17"/>
        <v>05 - MAI - 26 / 08/05 - SEX</v>
      </c>
      <c r="B214" s="55" t="s">
        <v>926</v>
      </c>
      <c r="C214" s="55" t="s">
        <v>86</v>
      </c>
      <c r="D214" s="56" t="s">
        <v>377</v>
      </c>
      <c r="E214" s="56" t="s">
        <v>316</v>
      </c>
      <c r="F214" s="56"/>
      <c r="G214" s="57" t="s">
        <v>927</v>
      </c>
      <c r="H214" s="64" t="s">
        <v>928</v>
      </c>
      <c r="I214" s="58">
        <v>46153.0</v>
      </c>
    </row>
    <row r="215" ht="15.75" customHeight="1">
      <c r="A215" s="29" t="str">
        <f t="shared" si="17"/>
        <v>05 - MAI - 26 / 08/05 - SEX</v>
      </c>
      <c r="B215" s="55" t="s">
        <v>929</v>
      </c>
      <c r="C215" s="55" t="s">
        <v>602</v>
      </c>
      <c r="D215" s="56" t="s">
        <v>377</v>
      </c>
      <c r="E215" s="56" t="s">
        <v>316</v>
      </c>
      <c r="F215" s="56"/>
      <c r="G215" s="57" t="s">
        <v>930</v>
      </c>
      <c r="H215" s="64" t="s">
        <v>931</v>
      </c>
      <c r="I215" s="58">
        <v>46150.0</v>
      </c>
    </row>
    <row r="216" ht="15.75" customHeight="1">
      <c r="A216" s="29" t="str">
        <f t="shared" si="17"/>
        <v>05 - MAI - 26 / 08/05 - SEX</v>
      </c>
      <c r="B216" s="55" t="s">
        <v>932</v>
      </c>
      <c r="C216" s="55" t="s">
        <v>602</v>
      </c>
      <c r="D216" s="56" t="s">
        <v>377</v>
      </c>
      <c r="E216" s="56" t="s">
        <v>316</v>
      </c>
      <c r="F216" s="56"/>
      <c r="G216" s="57" t="s">
        <v>933</v>
      </c>
      <c r="H216" s="64" t="s">
        <v>934</v>
      </c>
      <c r="I216" s="58">
        <v>46150.0</v>
      </c>
    </row>
    <row r="217" ht="15.75" customHeight="1">
      <c r="A217" s="29" t="str">
        <f t="shared" si="17"/>
        <v>05 - MAI - 26 / 08/05 - SEX</v>
      </c>
      <c r="B217" s="55" t="s">
        <v>935</v>
      </c>
      <c r="C217" s="55" t="s">
        <v>602</v>
      </c>
      <c r="D217" s="56" t="s">
        <v>315</v>
      </c>
      <c r="E217" s="56" t="s">
        <v>316</v>
      </c>
      <c r="F217" s="56"/>
      <c r="G217" s="57" t="s">
        <v>936</v>
      </c>
      <c r="H217" s="64" t="s">
        <v>937</v>
      </c>
      <c r="I217" s="58">
        <v>46150.0</v>
      </c>
    </row>
    <row r="218" ht="15.75" customHeight="1">
      <c r="A218" s="29" t="str">
        <f t="shared" si="17"/>
        <v>05 - MAI - 26 / 08/05 - SEX</v>
      </c>
      <c r="B218" s="55" t="s">
        <v>938</v>
      </c>
      <c r="C218" s="55" t="s">
        <v>602</v>
      </c>
      <c r="D218" s="56" t="s">
        <v>315</v>
      </c>
      <c r="E218" s="56" t="s">
        <v>316</v>
      </c>
      <c r="F218" s="56"/>
      <c r="G218" s="57" t="s">
        <v>939</v>
      </c>
      <c r="H218" s="64" t="s">
        <v>940</v>
      </c>
      <c r="I218" s="58">
        <v>46150.0</v>
      </c>
    </row>
    <row r="219" ht="15.75" customHeight="1">
      <c r="A219" s="29" t="str">
        <f t="shared" si="17"/>
        <v>05 - MAI - 26 / 08/05 - SEX</v>
      </c>
      <c r="B219" s="55" t="s">
        <v>941</v>
      </c>
      <c r="C219" s="55" t="s">
        <v>602</v>
      </c>
      <c r="D219" s="56" t="s">
        <v>315</v>
      </c>
      <c r="E219" s="56" t="s">
        <v>316</v>
      </c>
      <c r="F219" s="56"/>
      <c r="G219" s="57" t="s">
        <v>942</v>
      </c>
      <c r="H219" s="64" t="s">
        <v>943</v>
      </c>
      <c r="I219" s="58">
        <v>46150.0</v>
      </c>
    </row>
    <row r="220" ht="15.75" customHeight="1">
      <c r="A220" s="29" t="str">
        <f t="shared" si="17"/>
        <v>05 - MAI - 26 / 08/05 - SEX</v>
      </c>
      <c r="B220" s="55" t="s">
        <v>944</v>
      </c>
      <c r="C220" s="55" t="s">
        <v>602</v>
      </c>
      <c r="D220" s="56" t="s">
        <v>315</v>
      </c>
      <c r="E220" s="56" t="s">
        <v>316</v>
      </c>
      <c r="F220" s="56"/>
      <c r="G220" s="57" t="s">
        <v>945</v>
      </c>
      <c r="H220" s="64" t="s">
        <v>946</v>
      </c>
      <c r="I220" s="58">
        <v>46150.0</v>
      </c>
    </row>
    <row r="221" ht="15.75" customHeight="1">
      <c r="A221" s="29" t="str">
        <f t="shared" si="17"/>
        <v>05 - MAI - 26 / 08/05 - SEX</v>
      </c>
      <c r="B221" s="55" t="s">
        <v>947</v>
      </c>
      <c r="C221" s="55" t="s">
        <v>602</v>
      </c>
      <c r="D221" s="56" t="s">
        <v>315</v>
      </c>
      <c r="E221" s="56" t="s">
        <v>316</v>
      </c>
      <c r="F221" s="56"/>
      <c r="G221" s="57" t="s">
        <v>948</v>
      </c>
      <c r="H221" s="64" t="s">
        <v>949</v>
      </c>
      <c r="I221" s="58">
        <v>46150.0</v>
      </c>
    </row>
    <row r="222" ht="15.75" customHeight="1">
      <c r="A222" s="37" t="str">
        <f t="shared" ref="A222:A231" si="18">HYPERLINK("https://drive.google.com/drive/folders/1bS7D8FQnFKvMV7F22Ag60mKWdm8EQOQX", "05 - MAI - 26 / 07/05 - QUI")</f>
        <v>05 - MAI - 26 / 07/05 - QUI</v>
      </c>
      <c r="B222" s="59" t="s">
        <v>950</v>
      </c>
      <c r="C222" s="59" t="s">
        <v>86</v>
      </c>
      <c r="D222" s="60" t="s">
        <v>377</v>
      </c>
      <c r="E222" s="60" t="s">
        <v>316</v>
      </c>
      <c r="F222" s="60"/>
      <c r="G222" s="61" t="s">
        <v>951</v>
      </c>
      <c r="H222" s="63" t="s">
        <v>952</v>
      </c>
      <c r="I222" s="62">
        <v>46153.0</v>
      </c>
    </row>
    <row r="223" ht="15.75" customHeight="1">
      <c r="A223" s="29" t="str">
        <f t="shared" si="18"/>
        <v>05 - MAI - 26 / 07/05 - QUI</v>
      </c>
      <c r="B223" s="55" t="s">
        <v>953</v>
      </c>
      <c r="C223" s="55" t="s">
        <v>86</v>
      </c>
      <c r="D223" s="56" t="s">
        <v>377</v>
      </c>
      <c r="E223" s="56" t="s">
        <v>316</v>
      </c>
      <c r="F223" s="56"/>
      <c r="G223" s="57" t="s">
        <v>954</v>
      </c>
      <c r="H223" s="64" t="s">
        <v>955</v>
      </c>
      <c r="I223" s="58">
        <v>46153.0</v>
      </c>
    </row>
    <row r="224" ht="15.75" customHeight="1">
      <c r="A224" s="29" t="str">
        <f t="shared" si="18"/>
        <v>05 - MAI - 26 / 07/05 - QUI</v>
      </c>
      <c r="B224" s="55" t="s">
        <v>956</v>
      </c>
      <c r="C224" s="55" t="s">
        <v>602</v>
      </c>
      <c r="D224" s="56" t="s">
        <v>377</v>
      </c>
      <c r="E224" s="56" t="s">
        <v>316</v>
      </c>
      <c r="F224" s="56"/>
      <c r="G224" s="57" t="s">
        <v>957</v>
      </c>
      <c r="H224" s="64" t="s">
        <v>958</v>
      </c>
      <c r="I224" s="58">
        <v>46150.0</v>
      </c>
    </row>
    <row r="225" ht="15.75" customHeight="1">
      <c r="A225" s="29" t="str">
        <f t="shared" si="18"/>
        <v>05 - MAI - 26 / 07/05 - QUI</v>
      </c>
      <c r="B225" s="55" t="s">
        <v>959</v>
      </c>
      <c r="C225" s="55" t="s">
        <v>602</v>
      </c>
      <c r="D225" s="56" t="s">
        <v>377</v>
      </c>
      <c r="E225" s="56" t="s">
        <v>316</v>
      </c>
      <c r="F225" s="56"/>
      <c r="G225" s="57" t="s">
        <v>960</v>
      </c>
      <c r="H225" s="64" t="s">
        <v>961</v>
      </c>
      <c r="I225" s="58">
        <v>46150.0</v>
      </c>
    </row>
    <row r="226" ht="15.75" customHeight="1">
      <c r="A226" s="29" t="str">
        <f t="shared" si="18"/>
        <v>05 - MAI - 26 / 07/05 - QUI</v>
      </c>
      <c r="B226" s="55" t="s">
        <v>962</v>
      </c>
      <c r="C226" s="55" t="s">
        <v>602</v>
      </c>
      <c r="D226" s="56" t="s">
        <v>377</v>
      </c>
      <c r="E226" s="56" t="s">
        <v>316</v>
      </c>
      <c r="F226" s="56"/>
      <c r="G226" s="57" t="s">
        <v>963</v>
      </c>
      <c r="H226" s="64" t="s">
        <v>964</v>
      </c>
      <c r="I226" s="58">
        <v>46149.0</v>
      </c>
    </row>
    <row r="227" ht="15.75" customHeight="1">
      <c r="A227" s="29" t="str">
        <f t="shared" si="18"/>
        <v>05 - MAI - 26 / 07/05 - QUI</v>
      </c>
      <c r="B227" s="55" t="s">
        <v>965</v>
      </c>
      <c r="C227" s="55" t="s">
        <v>602</v>
      </c>
      <c r="D227" s="56" t="s">
        <v>315</v>
      </c>
      <c r="E227" s="56" t="s">
        <v>316</v>
      </c>
      <c r="F227" s="56"/>
      <c r="G227" s="57" t="s">
        <v>966</v>
      </c>
      <c r="H227" s="64" t="s">
        <v>967</v>
      </c>
      <c r="I227" s="58">
        <v>46149.0</v>
      </c>
    </row>
    <row r="228" ht="15.75" customHeight="1">
      <c r="A228" s="29" t="str">
        <f t="shared" si="18"/>
        <v>05 - MAI - 26 / 07/05 - QUI</v>
      </c>
      <c r="B228" s="55" t="s">
        <v>968</v>
      </c>
      <c r="C228" s="55" t="s">
        <v>602</v>
      </c>
      <c r="D228" s="56" t="s">
        <v>315</v>
      </c>
      <c r="E228" s="56" t="s">
        <v>316</v>
      </c>
      <c r="F228" s="56"/>
      <c r="G228" s="57" t="s">
        <v>969</v>
      </c>
      <c r="H228" s="64" t="s">
        <v>970</v>
      </c>
      <c r="I228" s="58">
        <v>46149.0</v>
      </c>
    </row>
    <row r="229" ht="15.75" customHeight="1">
      <c r="A229" s="29" t="str">
        <f t="shared" si="18"/>
        <v>05 - MAI - 26 / 07/05 - QUI</v>
      </c>
      <c r="B229" s="55" t="s">
        <v>971</v>
      </c>
      <c r="C229" s="55" t="s">
        <v>602</v>
      </c>
      <c r="D229" s="56" t="s">
        <v>315</v>
      </c>
      <c r="E229" s="56" t="s">
        <v>316</v>
      </c>
      <c r="F229" s="56"/>
      <c r="G229" s="57" t="s">
        <v>972</v>
      </c>
      <c r="H229" s="64" t="s">
        <v>973</v>
      </c>
      <c r="I229" s="58">
        <v>46149.0</v>
      </c>
    </row>
    <row r="230" ht="15.75" customHeight="1">
      <c r="A230" s="29" t="str">
        <f t="shared" si="18"/>
        <v>05 - MAI - 26 / 07/05 - QUI</v>
      </c>
      <c r="B230" s="55" t="s">
        <v>974</v>
      </c>
      <c r="C230" s="55" t="s">
        <v>602</v>
      </c>
      <c r="D230" s="56" t="s">
        <v>315</v>
      </c>
      <c r="E230" s="56" t="s">
        <v>316</v>
      </c>
      <c r="F230" s="56"/>
      <c r="G230" s="57" t="s">
        <v>975</v>
      </c>
      <c r="H230" s="64" t="s">
        <v>976</v>
      </c>
      <c r="I230" s="58">
        <v>46149.0</v>
      </c>
    </row>
    <row r="231" ht="15.75" customHeight="1">
      <c r="A231" s="29" t="str">
        <f t="shared" si="18"/>
        <v>05 - MAI - 26 / 07/05 - QUI</v>
      </c>
      <c r="B231" s="55" t="s">
        <v>977</v>
      </c>
      <c r="C231" s="55" t="s">
        <v>602</v>
      </c>
      <c r="D231" s="56" t="s">
        <v>315</v>
      </c>
      <c r="E231" s="56" t="s">
        <v>316</v>
      </c>
      <c r="F231" s="56"/>
      <c r="G231" s="57" t="s">
        <v>978</v>
      </c>
      <c r="H231" s="64" t="s">
        <v>979</v>
      </c>
      <c r="I231" s="58">
        <v>46149.0</v>
      </c>
    </row>
    <row r="232" ht="15.75" customHeight="1">
      <c r="A232" s="37" t="str">
        <f t="shared" ref="A232:A241" si="19">HYPERLINK("https://drive.google.com/drive/folders/1MMnBrIGGvlW2Ms2tCkNg0FksBKx1opqy", "05 - MAI - 26 / 06/05 - QUA")</f>
        <v>05 - MAI - 26 / 06/05 - QUA</v>
      </c>
      <c r="B232" s="59" t="s">
        <v>980</v>
      </c>
      <c r="C232" s="59" t="s">
        <v>86</v>
      </c>
      <c r="D232" s="60" t="s">
        <v>377</v>
      </c>
      <c r="E232" s="60" t="s">
        <v>316</v>
      </c>
      <c r="F232" s="60"/>
      <c r="G232" s="61" t="s">
        <v>981</v>
      </c>
      <c r="H232" s="63" t="s">
        <v>982</v>
      </c>
      <c r="I232" s="62">
        <v>46147.0</v>
      </c>
    </row>
    <row r="233" ht="15.75" customHeight="1">
      <c r="A233" s="29" t="str">
        <f t="shared" si="19"/>
        <v>05 - MAI - 26 / 06/05 - QUA</v>
      </c>
      <c r="B233" s="55" t="s">
        <v>983</v>
      </c>
      <c r="C233" s="55" t="s">
        <v>86</v>
      </c>
      <c r="D233" s="56" t="s">
        <v>315</v>
      </c>
      <c r="E233" s="56" t="s">
        <v>316</v>
      </c>
      <c r="F233" s="56"/>
      <c r="G233" s="57" t="s">
        <v>984</v>
      </c>
      <c r="H233" s="64" t="s">
        <v>985</v>
      </c>
      <c r="I233" s="58">
        <v>46148.0</v>
      </c>
    </row>
    <row r="234" ht="15.75" customHeight="1">
      <c r="A234" s="29" t="str">
        <f t="shared" si="19"/>
        <v>05 - MAI - 26 / 06/05 - QUA</v>
      </c>
      <c r="B234" s="55" t="s">
        <v>986</v>
      </c>
      <c r="C234" s="55" t="s">
        <v>602</v>
      </c>
      <c r="D234" s="56" t="s">
        <v>377</v>
      </c>
      <c r="E234" s="56" t="s">
        <v>316</v>
      </c>
      <c r="F234" s="56"/>
      <c r="G234" s="57" t="s">
        <v>987</v>
      </c>
      <c r="H234" s="64" t="s">
        <v>988</v>
      </c>
      <c r="I234" s="58">
        <v>46149.0</v>
      </c>
    </row>
    <row r="235" ht="15.75" customHeight="1">
      <c r="A235" s="29" t="str">
        <f t="shared" si="19"/>
        <v>05 - MAI - 26 / 06/05 - QUA</v>
      </c>
      <c r="B235" s="55" t="s">
        <v>989</v>
      </c>
      <c r="C235" s="55" t="s">
        <v>602</v>
      </c>
      <c r="D235" s="56" t="s">
        <v>377</v>
      </c>
      <c r="E235" s="56" t="s">
        <v>316</v>
      </c>
      <c r="F235" s="56"/>
      <c r="G235" s="57" t="s">
        <v>990</v>
      </c>
      <c r="H235" s="64" t="s">
        <v>991</v>
      </c>
      <c r="I235" s="58">
        <v>46149.0</v>
      </c>
    </row>
    <row r="236" ht="15.75" customHeight="1">
      <c r="A236" s="29" t="str">
        <f t="shared" si="19"/>
        <v>05 - MAI - 26 / 06/05 - QUA</v>
      </c>
      <c r="B236" s="55" t="s">
        <v>992</v>
      </c>
      <c r="C236" s="55" t="s">
        <v>602</v>
      </c>
      <c r="D236" s="56" t="s">
        <v>377</v>
      </c>
      <c r="E236" s="56" t="s">
        <v>316</v>
      </c>
      <c r="F236" s="56"/>
      <c r="G236" s="57" t="s">
        <v>993</v>
      </c>
      <c r="H236" s="64" t="s">
        <v>994</v>
      </c>
      <c r="I236" s="58">
        <v>46149.0</v>
      </c>
    </row>
    <row r="237" ht="15.75" customHeight="1">
      <c r="A237" s="29" t="str">
        <f t="shared" si="19"/>
        <v>05 - MAI - 26 / 06/05 - QUA</v>
      </c>
      <c r="B237" s="55" t="s">
        <v>995</v>
      </c>
      <c r="C237" s="55" t="s">
        <v>602</v>
      </c>
      <c r="D237" s="56" t="s">
        <v>315</v>
      </c>
      <c r="E237" s="56" t="s">
        <v>316</v>
      </c>
      <c r="F237" s="56"/>
      <c r="G237" s="57" t="s">
        <v>996</v>
      </c>
      <c r="H237" s="64" t="s">
        <v>997</v>
      </c>
      <c r="I237" s="58">
        <v>46149.0</v>
      </c>
    </row>
    <row r="238" ht="15.75" customHeight="1">
      <c r="A238" s="29" t="str">
        <f t="shared" si="19"/>
        <v>05 - MAI - 26 / 06/05 - QUA</v>
      </c>
      <c r="B238" s="55" t="s">
        <v>998</v>
      </c>
      <c r="C238" s="55" t="s">
        <v>602</v>
      </c>
      <c r="D238" s="56" t="s">
        <v>315</v>
      </c>
      <c r="E238" s="56" t="s">
        <v>316</v>
      </c>
      <c r="F238" s="56"/>
      <c r="G238" s="57" t="s">
        <v>999</v>
      </c>
      <c r="H238" s="64" t="s">
        <v>1000</v>
      </c>
      <c r="I238" s="58">
        <v>46149.0</v>
      </c>
    </row>
    <row r="239" ht="15.75" customHeight="1">
      <c r="A239" s="29" t="str">
        <f t="shared" si="19"/>
        <v>05 - MAI - 26 / 06/05 - QUA</v>
      </c>
      <c r="B239" s="55" t="s">
        <v>1001</v>
      </c>
      <c r="C239" s="55" t="s">
        <v>602</v>
      </c>
      <c r="D239" s="56" t="s">
        <v>315</v>
      </c>
      <c r="E239" s="56" t="s">
        <v>316</v>
      </c>
      <c r="F239" s="56"/>
      <c r="G239" s="57" t="s">
        <v>1002</v>
      </c>
      <c r="H239" s="64" t="s">
        <v>1003</v>
      </c>
      <c r="I239" s="58">
        <v>46149.0</v>
      </c>
    </row>
    <row r="240" ht="15.75" customHeight="1">
      <c r="A240" s="29" t="str">
        <f t="shared" si="19"/>
        <v>05 - MAI - 26 / 06/05 - QUA</v>
      </c>
      <c r="B240" s="55" t="s">
        <v>1004</v>
      </c>
      <c r="C240" s="55" t="s">
        <v>602</v>
      </c>
      <c r="D240" s="56" t="s">
        <v>315</v>
      </c>
      <c r="E240" s="56" t="s">
        <v>316</v>
      </c>
      <c r="F240" s="56"/>
      <c r="G240" s="57" t="s">
        <v>1005</v>
      </c>
      <c r="H240" s="64" t="s">
        <v>1006</v>
      </c>
      <c r="I240" s="58">
        <v>46149.0</v>
      </c>
    </row>
    <row r="241" ht="15.75" customHeight="1">
      <c r="A241" s="29" t="str">
        <f t="shared" si="19"/>
        <v>05 - MAI - 26 / 06/05 - QUA</v>
      </c>
      <c r="B241" s="55" t="s">
        <v>1007</v>
      </c>
      <c r="C241" s="55" t="s">
        <v>602</v>
      </c>
      <c r="D241" s="56" t="s">
        <v>315</v>
      </c>
      <c r="E241" s="56" t="s">
        <v>316</v>
      </c>
      <c r="F241" s="56"/>
      <c r="G241" s="57" t="s">
        <v>1008</v>
      </c>
      <c r="H241" s="64" t="s">
        <v>1009</v>
      </c>
      <c r="I241" s="58">
        <v>46149.0</v>
      </c>
    </row>
    <row r="242" ht="15.75" customHeight="1">
      <c r="A242" s="37" t="str">
        <f t="shared" ref="A242:A251" si="20">HYPERLINK("https://drive.google.com/drive/folders/1wEykzGdJ1HwF9cFcawWmg-XyzjwM-Bf4", "05 - MAI - 26 / 05/05 - TER")</f>
        <v>05 - MAI - 26 / 05/05 - TER</v>
      </c>
      <c r="B242" s="59" t="s">
        <v>1010</v>
      </c>
      <c r="C242" s="59" t="s">
        <v>602</v>
      </c>
      <c r="D242" s="60" t="s">
        <v>377</v>
      </c>
      <c r="E242" s="60" t="s">
        <v>316</v>
      </c>
      <c r="F242" s="60"/>
      <c r="G242" s="61" t="s">
        <v>1011</v>
      </c>
      <c r="H242" s="63" t="s">
        <v>1012</v>
      </c>
      <c r="I242" s="62">
        <v>46149.0</v>
      </c>
    </row>
    <row r="243" ht="15.75" customHeight="1">
      <c r="A243" s="29" t="str">
        <f t="shared" si="20"/>
        <v>05 - MAI - 26 / 05/05 - TER</v>
      </c>
      <c r="B243" s="55" t="s">
        <v>1013</v>
      </c>
      <c r="C243" s="55" t="s">
        <v>602</v>
      </c>
      <c r="D243" s="56" t="s">
        <v>377</v>
      </c>
      <c r="E243" s="56" t="s">
        <v>316</v>
      </c>
      <c r="F243" s="56"/>
      <c r="G243" s="57" t="s">
        <v>1014</v>
      </c>
      <c r="H243" s="64" t="s">
        <v>1015</v>
      </c>
      <c r="I243" s="58">
        <v>46149.0</v>
      </c>
    </row>
    <row r="244" ht="15.75" customHeight="1">
      <c r="A244" s="29" t="str">
        <f t="shared" si="20"/>
        <v>05 - MAI - 26 / 05/05 - TER</v>
      </c>
      <c r="B244" s="55" t="s">
        <v>1016</v>
      </c>
      <c r="C244" s="55" t="s">
        <v>602</v>
      </c>
      <c r="D244" s="56" t="s">
        <v>377</v>
      </c>
      <c r="E244" s="56" t="s">
        <v>316</v>
      </c>
      <c r="F244" s="56"/>
      <c r="G244" s="57" t="s">
        <v>1017</v>
      </c>
      <c r="H244" s="64" t="s">
        <v>1018</v>
      </c>
      <c r="I244" s="58">
        <v>46149.0</v>
      </c>
    </row>
    <row r="245" ht="15.75" customHeight="1">
      <c r="A245" s="29" t="str">
        <f t="shared" si="20"/>
        <v>05 - MAI - 26 / 05/05 - TER</v>
      </c>
      <c r="B245" s="55" t="s">
        <v>1019</v>
      </c>
      <c r="C245" s="55" t="s">
        <v>602</v>
      </c>
      <c r="D245" s="56" t="s">
        <v>377</v>
      </c>
      <c r="E245" s="56" t="s">
        <v>316</v>
      </c>
      <c r="F245" s="56"/>
      <c r="G245" s="57" t="s">
        <v>1020</v>
      </c>
      <c r="H245" s="64" t="s">
        <v>1021</v>
      </c>
      <c r="I245" s="58">
        <v>46149.0</v>
      </c>
    </row>
    <row r="246" ht="15.75" customHeight="1">
      <c r="A246" s="29" t="str">
        <f t="shared" si="20"/>
        <v>05 - MAI - 26 / 05/05 - TER</v>
      </c>
      <c r="B246" s="55" t="s">
        <v>1022</v>
      </c>
      <c r="C246" s="55" t="s">
        <v>602</v>
      </c>
      <c r="D246" s="56" t="s">
        <v>377</v>
      </c>
      <c r="E246" s="56" t="s">
        <v>316</v>
      </c>
      <c r="F246" s="56"/>
      <c r="G246" s="57" t="s">
        <v>1023</v>
      </c>
      <c r="H246" s="64" t="s">
        <v>1024</v>
      </c>
      <c r="I246" s="58">
        <v>46149.0</v>
      </c>
    </row>
    <row r="247" ht="15.75" customHeight="1">
      <c r="A247" s="29" t="str">
        <f t="shared" si="20"/>
        <v>05 - MAI - 26 / 05/05 - TER</v>
      </c>
      <c r="B247" s="55" t="s">
        <v>1025</v>
      </c>
      <c r="C247" s="55" t="s">
        <v>602</v>
      </c>
      <c r="D247" s="56" t="s">
        <v>377</v>
      </c>
      <c r="E247" s="56" t="s">
        <v>316</v>
      </c>
      <c r="F247" s="56"/>
      <c r="G247" s="57" t="s">
        <v>1026</v>
      </c>
      <c r="H247" s="64" t="s">
        <v>1027</v>
      </c>
      <c r="I247" s="58">
        <v>46149.0</v>
      </c>
    </row>
    <row r="248" ht="15.75" customHeight="1">
      <c r="A248" s="29" t="str">
        <f t="shared" si="20"/>
        <v>05 - MAI - 26 / 05/05 - TER</v>
      </c>
      <c r="B248" s="55" t="s">
        <v>1028</v>
      </c>
      <c r="C248" s="55" t="s">
        <v>602</v>
      </c>
      <c r="D248" s="56" t="s">
        <v>377</v>
      </c>
      <c r="E248" s="56" t="s">
        <v>316</v>
      </c>
      <c r="F248" s="56"/>
      <c r="G248" s="57" t="s">
        <v>1029</v>
      </c>
      <c r="H248" s="64" t="s">
        <v>1030</v>
      </c>
      <c r="I248" s="58">
        <v>46149.0</v>
      </c>
    </row>
    <row r="249" ht="15.75" customHeight="1">
      <c r="A249" s="29" t="str">
        <f t="shared" si="20"/>
        <v>05 - MAI - 26 / 05/05 - TER</v>
      </c>
      <c r="B249" s="55" t="s">
        <v>1031</v>
      </c>
      <c r="C249" s="55" t="s">
        <v>602</v>
      </c>
      <c r="D249" s="56" t="s">
        <v>377</v>
      </c>
      <c r="E249" s="56" t="s">
        <v>316</v>
      </c>
      <c r="F249" s="56"/>
      <c r="G249" s="57" t="s">
        <v>1032</v>
      </c>
      <c r="H249" s="64" t="s">
        <v>1033</v>
      </c>
      <c r="I249" s="58">
        <v>46149.0</v>
      </c>
    </row>
    <row r="250" ht="15.75" customHeight="1">
      <c r="A250" s="29" t="str">
        <f t="shared" si="20"/>
        <v>05 - MAI - 26 / 05/05 - TER</v>
      </c>
      <c r="B250" s="55" t="s">
        <v>1034</v>
      </c>
      <c r="C250" s="55" t="s">
        <v>602</v>
      </c>
      <c r="D250" s="56" t="s">
        <v>377</v>
      </c>
      <c r="E250" s="56" t="s">
        <v>316</v>
      </c>
      <c r="F250" s="56"/>
      <c r="G250" s="57" t="s">
        <v>1035</v>
      </c>
      <c r="H250" s="64" t="s">
        <v>1036</v>
      </c>
      <c r="I250" s="58">
        <v>46149.0</v>
      </c>
    </row>
    <row r="251" ht="15.75" customHeight="1">
      <c r="A251" s="29" t="str">
        <f t="shared" si="20"/>
        <v>05 - MAI - 26 / 05/05 - TER</v>
      </c>
      <c r="B251" s="55" t="s">
        <v>1037</v>
      </c>
      <c r="C251" s="55" t="s">
        <v>602</v>
      </c>
      <c r="D251" s="56" t="s">
        <v>377</v>
      </c>
      <c r="E251" s="56" t="s">
        <v>316</v>
      </c>
      <c r="F251" s="56"/>
      <c r="G251" s="57" t="s">
        <v>1038</v>
      </c>
      <c r="H251" s="64" t="s">
        <v>1039</v>
      </c>
      <c r="I251" s="58">
        <v>46149.0</v>
      </c>
    </row>
    <row r="252" ht="15.75" customHeight="1">
      <c r="A252" s="37" t="str">
        <f t="shared" ref="A252:A261" si="21">HYPERLINK("https://drive.google.com/drive/folders/1j2ZYpqrsOY6cTyCUKMunWiUJBT-g7zrp", "05 - MAI - 26 / 04/05 - SEG")</f>
        <v>05 - MAI - 26 / 04/05 - SEG</v>
      </c>
      <c r="B252" s="59" t="s">
        <v>1040</v>
      </c>
      <c r="C252" s="59" t="s">
        <v>602</v>
      </c>
      <c r="D252" s="60" t="s">
        <v>377</v>
      </c>
      <c r="E252" s="60" t="s">
        <v>316</v>
      </c>
      <c r="F252" s="60"/>
      <c r="G252" s="61" t="s">
        <v>1041</v>
      </c>
      <c r="H252" s="63" t="s">
        <v>1042</v>
      </c>
      <c r="I252" s="62">
        <v>46149.0</v>
      </c>
    </row>
    <row r="253" ht="15.75" customHeight="1">
      <c r="A253" s="29" t="str">
        <f t="shared" si="21"/>
        <v>05 - MAI - 26 / 04/05 - SEG</v>
      </c>
      <c r="B253" s="55" t="s">
        <v>1043</v>
      </c>
      <c r="C253" s="55" t="s">
        <v>602</v>
      </c>
      <c r="D253" s="56" t="s">
        <v>377</v>
      </c>
      <c r="E253" s="56" t="s">
        <v>316</v>
      </c>
      <c r="F253" s="56"/>
      <c r="G253" s="57" t="s">
        <v>1044</v>
      </c>
      <c r="H253" s="64" t="s">
        <v>1045</v>
      </c>
      <c r="I253" s="58">
        <v>46146.0</v>
      </c>
    </row>
    <row r="254" ht="15.75" customHeight="1">
      <c r="A254" s="29" t="str">
        <f t="shared" si="21"/>
        <v>05 - MAI - 26 / 04/05 - SEG</v>
      </c>
      <c r="B254" s="55" t="s">
        <v>1046</v>
      </c>
      <c r="C254" s="55" t="s">
        <v>602</v>
      </c>
      <c r="D254" s="56" t="s">
        <v>377</v>
      </c>
      <c r="E254" s="56" t="s">
        <v>316</v>
      </c>
      <c r="F254" s="56"/>
      <c r="G254" s="57" t="s">
        <v>1047</v>
      </c>
      <c r="H254" s="64" t="s">
        <v>1048</v>
      </c>
      <c r="I254" s="58">
        <v>46146.0</v>
      </c>
    </row>
    <row r="255" ht="15.75" customHeight="1">
      <c r="A255" s="29" t="str">
        <f t="shared" si="21"/>
        <v>05 - MAI - 26 / 04/05 - SEG</v>
      </c>
      <c r="B255" s="55" t="s">
        <v>1049</v>
      </c>
      <c r="C255" s="55" t="s">
        <v>602</v>
      </c>
      <c r="D255" s="56" t="s">
        <v>377</v>
      </c>
      <c r="E255" s="56" t="s">
        <v>316</v>
      </c>
      <c r="F255" s="56"/>
      <c r="G255" s="57" t="s">
        <v>1050</v>
      </c>
      <c r="H255" s="64" t="s">
        <v>1051</v>
      </c>
      <c r="I255" s="58">
        <v>46146.0</v>
      </c>
    </row>
    <row r="256" ht="15.75" customHeight="1">
      <c r="A256" s="29" t="str">
        <f t="shared" si="21"/>
        <v>05 - MAI - 26 / 04/05 - SEG</v>
      </c>
      <c r="B256" s="55" t="s">
        <v>1052</v>
      </c>
      <c r="C256" s="55" t="s">
        <v>602</v>
      </c>
      <c r="D256" s="56" t="s">
        <v>377</v>
      </c>
      <c r="E256" s="56" t="s">
        <v>316</v>
      </c>
      <c r="F256" s="56"/>
      <c r="G256" s="57" t="s">
        <v>1053</v>
      </c>
      <c r="H256" s="64" t="s">
        <v>1054</v>
      </c>
      <c r="I256" s="58">
        <v>46146.0</v>
      </c>
    </row>
    <row r="257" ht="15.75" customHeight="1">
      <c r="A257" s="29" t="str">
        <f t="shared" si="21"/>
        <v>05 - MAI - 26 / 04/05 - SEG</v>
      </c>
      <c r="B257" s="55" t="s">
        <v>1055</v>
      </c>
      <c r="C257" s="55" t="s">
        <v>602</v>
      </c>
      <c r="D257" s="56" t="s">
        <v>315</v>
      </c>
      <c r="E257" s="56" t="s">
        <v>316</v>
      </c>
      <c r="F257" s="56"/>
      <c r="G257" s="57" t="s">
        <v>1056</v>
      </c>
      <c r="H257" s="64" t="s">
        <v>1057</v>
      </c>
      <c r="I257" s="58">
        <v>46146.0</v>
      </c>
    </row>
    <row r="258" ht="15.75" customHeight="1">
      <c r="A258" s="29" t="str">
        <f t="shared" si="21"/>
        <v>05 - MAI - 26 / 04/05 - SEG</v>
      </c>
      <c r="B258" s="55" t="s">
        <v>1058</v>
      </c>
      <c r="C258" s="55" t="s">
        <v>86</v>
      </c>
      <c r="D258" s="56" t="s">
        <v>315</v>
      </c>
      <c r="E258" s="56" t="s">
        <v>316</v>
      </c>
      <c r="F258" s="56"/>
      <c r="G258" s="57" t="s">
        <v>1059</v>
      </c>
      <c r="H258" s="64" t="s">
        <v>1060</v>
      </c>
      <c r="I258" s="58">
        <v>46145.0</v>
      </c>
    </row>
    <row r="259" ht="15.75" customHeight="1">
      <c r="A259" s="29" t="str">
        <f t="shared" si="21"/>
        <v>05 - MAI - 26 / 04/05 - SEG</v>
      </c>
      <c r="B259" s="55" t="s">
        <v>1061</v>
      </c>
      <c r="C259" s="55" t="s">
        <v>86</v>
      </c>
      <c r="D259" s="56" t="s">
        <v>315</v>
      </c>
      <c r="E259" s="56" t="s">
        <v>316</v>
      </c>
      <c r="F259" s="56"/>
      <c r="G259" s="57" t="s">
        <v>1062</v>
      </c>
      <c r="H259" s="64" t="s">
        <v>1063</v>
      </c>
      <c r="I259" s="58">
        <v>46145.0</v>
      </c>
    </row>
    <row r="260" ht="15.75" customHeight="1">
      <c r="A260" s="29" t="str">
        <f t="shared" si="21"/>
        <v>05 - MAI - 26 / 04/05 - SEG</v>
      </c>
      <c r="B260" s="55" t="s">
        <v>1064</v>
      </c>
      <c r="C260" s="55" t="s">
        <v>86</v>
      </c>
      <c r="D260" s="56" t="s">
        <v>315</v>
      </c>
      <c r="E260" s="56" t="s">
        <v>316</v>
      </c>
      <c r="F260" s="56"/>
      <c r="G260" s="57" t="s">
        <v>1065</v>
      </c>
      <c r="H260" s="64" t="s">
        <v>1066</v>
      </c>
      <c r="I260" s="58">
        <v>46142.0</v>
      </c>
    </row>
    <row r="261" ht="15.75" customHeight="1">
      <c r="A261" s="29" t="str">
        <f t="shared" si="21"/>
        <v>05 - MAI - 26 / 04/05 - SEG</v>
      </c>
      <c r="B261" s="55" t="s">
        <v>1067</v>
      </c>
      <c r="C261" s="55" t="s">
        <v>86</v>
      </c>
      <c r="D261" s="56" t="s">
        <v>315</v>
      </c>
      <c r="E261" s="56" t="s">
        <v>316</v>
      </c>
      <c r="F261" s="56"/>
      <c r="G261" s="57" t="s">
        <v>1068</v>
      </c>
      <c r="H261" s="64" t="s">
        <v>1069</v>
      </c>
      <c r="I261" s="58">
        <v>46142.0</v>
      </c>
    </row>
    <row r="262" ht="15.75" customHeight="1">
      <c r="A262" s="55"/>
      <c r="B262" s="55"/>
      <c r="C262" s="55"/>
      <c r="D262" s="56"/>
      <c r="E262" s="56"/>
      <c r="F262" s="56"/>
      <c r="G262" s="57"/>
      <c r="H262" s="56"/>
      <c r="I262" s="56"/>
    </row>
    <row r="263" ht="15.75" customHeight="1">
      <c r="A263" s="15"/>
      <c r="B263" s="15"/>
      <c r="C263" s="15"/>
      <c r="D263" s="56"/>
      <c r="E263" s="56"/>
      <c r="F263" s="56"/>
      <c r="G263" s="57"/>
      <c r="H263" s="56"/>
      <c r="I263" s="56"/>
    </row>
    <row r="264" ht="15.75" customHeight="1">
      <c r="A264" s="55"/>
      <c r="B264" s="55"/>
      <c r="C264" s="55"/>
      <c r="D264" s="56"/>
      <c r="E264" s="56"/>
      <c r="F264" s="56"/>
      <c r="G264" s="57"/>
      <c r="H264" s="56"/>
      <c r="I264" s="56"/>
    </row>
    <row r="265" ht="15.75" customHeight="1">
      <c r="A265" s="15"/>
      <c r="B265" s="15"/>
      <c r="C265" s="15"/>
      <c r="D265" s="56"/>
      <c r="E265" s="56"/>
      <c r="F265" s="56"/>
      <c r="G265" s="57"/>
      <c r="H265" s="56"/>
      <c r="I265" s="56"/>
    </row>
    <row r="266" ht="15.75" customHeight="1">
      <c r="A266" s="55"/>
      <c r="B266" s="55"/>
      <c r="C266" s="55"/>
      <c r="D266" s="56"/>
      <c r="E266" s="56"/>
      <c r="F266" s="56"/>
      <c r="G266" s="57"/>
      <c r="H266" s="56"/>
      <c r="I266" s="56"/>
    </row>
    <row r="267" ht="15.75" customHeight="1">
      <c r="A267" s="15"/>
      <c r="B267" s="15"/>
      <c r="C267" s="15"/>
      <c r="D267" s="56"/>
      <c r="E267" s="56"/>
      <c r="F267" s="56"/>
      <c r="G267" s="57"/>
      <c r="H267" s="56"/>
      <c r="I267" s="56"/>
    </row>
    <row r="268" ht="15.75" customHeight="1">
      <c r="A268" s="55"/>
      <c r="B268" s="55"/>
      <c r="C268" s="55"/>
      <c r="D268" s="56"/>
      <c r="E268" s="56"/>
      <c r="F268" s="56"/>
      <c r="G268" s="57"/>
      <c r="H268" s="56"/>
      <c r="I268" s="56"/>
    </row>
    <row r="269" ht="15.75" customHeight="1">
      <c r="A269" s="15"/>
      <c r="B269" s="15"/>
      <c r="C269" s="15"/>
      <c r="D269" s="56"/>
      <c r="E269" s="56"/>
      <c r="F269" s="56"/>
      <c r="G269" s="57"/>
      <c r="H269" s="56"/>
      <c r="I269" s="56"/>
    </row>
    <row r="270" ht="15.75" customHeight="1">
      <c r="A270" s="55"/>
      <c r="B270" s="55"/>
      <c r="C270" s="55"/>
      <c r="D270" s="56"/>
      <c r="E270" s="56"/>
      <c r="F270" s="56"/>
      <c r="G270" s="57"/>
      <c r="H270" s="56"/>
      <c r="I270" s="56"/>
    </row>
    <row r="271" ht="15.75" customHeight="1">
      <c r="A271" s="15"/>
      <c r="B271" s="15"/>
      <c r="C271" s="15"/>
      <c r="D271" s="56"/>
      <c r="E271" s="56"/>
      <c r="F271" s="56"/>
      <c r="G271" s="57"/>
      <c r="H271" s="56"/>
      <c r="I271" s="56"/>
    </row>
    <row r="272" ht="15.75" customHeight="1">
      <c r="A272" s="55"/>
      <c r="B272" s="55"/>
      <c r="C272" s="55"/>
      <c r="D272" s="56"/>
      <c r="E272" s="56"/>
      <c r="F272" s="56"/>
      <c r="G272" s="57"/>
      <c r="H272" s="56"/>
      <c r="I272" s="56"/>
    </row>
    <row r="273" ht="15.75" customHeight="1">
      <c r="A273" s="15"/>
      <c r="B273" s="15"/>
      <c r="C273" s="15"/>
      <c r="D273" s="56"/>
      <c r="E273" s="56"/>
      <c r="F273" s="56"/>
      <c r="G273" s="57"/>
      <c r="H273" s="56"/>
      <c r="I273" s="56"/>
    </row>
    <row r="274" ht="15.75" customHeight="1">
      <c r="A274" s="55"/>
      <c r="B274" s="55"/>
      <c r="C274" s="55"/>
      <c r="D274" s="56"/>
      <c r="E274" s="56"/>
      <c r="F274" s="56"/>
      <c r="G274" s="57"/>
      <c r="H274" s="56"/>
      <c r="I274" s="56"/>
    </row>
    <row r="275" ht="15.75" customHeight="1">
      <c r="A275" s="15"/>
      <c r="B275" s="15"/>
      <c r="C275" s="15"/>
      <c r="D275" s="56"/>
      <c r="E275" s="56"/>
      <c r="F275" s="56"/>
      <c r="G275" s="57"/>
      <c r="H275" s="56"/>
      <c r="I275" s="56"/>
    </row>
    <row r="276" ht="15.75" customHeight="1">
      <c r="A276" s="55"/>
      <c r="B276" s="55"/>
      <c r="C276" s="55"/>
      <c r="D276" s="56"/>
      <c r="E276" s="56"/>
      <c r="F276" s="56"/>
      <c r="G276" s="57"/>
      <c r="H276" s="56"/>
      <c r="I276" s="56"/>
    </row>
    <row r="277" ht="15.75" customHeight="1">
      <c r="A277" s="15"/>
      <c r="B277" s="15"/>
      <c r="C277" s="15"/>
      <c r="D277" s="56"/>
      <c r="E277" s="56"/>
      <c r="F277" s="56"/>
      <c r="G277" s="57"/>
      <c r="H277" s="56"/>
      <c r="I277" s="56"/>
    </row>
    <row r="278" ht="15.75" customHeight="1">
      <c r="A278" s="55"/>
      <c r="B278" s="55"/>
      <c r="C278" s="55"/>
      <c r="D278" s="56"/>
      <c r="E278" s="56"/>
      <c r="F278" s="56"/>
      <c r="G278" s="57"/>
      <c r="H278" s="56"/>
      <c r="I278" s="56"/>
    </row>
    <row r="279" ht="15.75" customHeight="1">
      <c r="A279" s="15"/>
      <c r="B279" s="15"/>
      <c r="C279" s="15"/>
      <c r="D279" s="56"/>
      <c r="E279" s="56"/>
      <c r="F279" s="56"/>
      <c r="G279" s="57"/>
      <c r="H279" s="56"/>
      <c r="I279" s="56"/>
    </row>
    <row r="280" ht="15.75" customHeight="1">
      <c r="A280" s="55"/>
      <c r="B280" s="55"/>
      <c r="C280" s="55"/>
      <c r="D280" s="56"/>
      <c r="E280" s="56"/>
      <c r="F280" s="56"/>
      <c r="G280" s="57"/>
      <c r="H280" s="56"/>
      <c r="I280" s="56"/>
    </row>
    <row r="281" ht="15.75" customHeight="1">
      <c r="A281" s="15"/>
      <c r="B281" s="15"/>
      <c r="C281" s="15"/>
      <c r="D281" s="56"/>
      <c r="E281" s="56"/>
      <c r="F281" s="56"/>
      <c r="G281" s="57"/>
      <c r="H281" s="56"/>
      <c r="I281" s="56"/>
    </row>
    <row r="282" ht="15.75" customHeight="1">
      <c r="A282" s="55"/>
      <c r="B282" s="55"/>
      <c r="C282" s="55"/>
      <c r="D282" s="56"/>
      <c r="E282" s="56"/>
      <c r="F282" s="56"/>
      <c r="G282" s="57"/>
      <c r="H282" s="56"/>
      <c r="I282" s="56"/>
    </row>
    <row r="283" ht="15.75" customHeight="1">
      <c r="A283" s="15"/>
      <c r="B283" s="15"/>
      <c r="C283" s="15"/>
      <c r="D283" s="56"/>
      <c r="E283" s="56"/>
      <c r="F283" s="56"/>
      <c r="G283" s="57"/>
      <c r="H283" s="56"/>
      <c r="I283" s="56"/>
    </row>
    <row r="284" ht="15.75" customHeight="1">
      <c r="A284" s="55"/>
      <c r="B284" s="55"/>
      <c r="C284" s="55"/>
      <c r="D284" s="56"/>
      <c r="E284" s="56"/>
      <c r="F284" s="56"/>
      <c r="G284" s="57"/>
      <c r="H284" s="56"/>
      <c r="I284" s="56"/>
    </row>
    <row r="285" ht="15.75" customHeight="1">
      <c r="A285" s="15"/>
      <c r="B285" s="15"/>
      <c r="C285" s="15"/>
      <c r="D285" s="56"/>
      <c r="E285" s="56"/>
      <c r="F285" s="56"/>
      <c r="G285" s="57"/>
      <c r="H285" s="56"/>
      <c r="I285" s="56"/>
    </row>
    <row r="286" ht="15.75" customHeight="1">
      <c r="A286" s="55"/>
      <c r="B286" s="55"/>
      <c r="C286" s="55"/>
      <c r="D286" s="56"/>
      <c r="E286" s="56"/>
      <c r="F286" s="56"/>
      <c r="G286" s="57"/>
      <c r="H286" s="56"/>
      <c r="I286" s="56"/>
    </row>
    <row r="287" ht="15.75" customHeight="1">
      <c r="A287" s="15"/>
      <c r="B287" s="15"/>
      <c r="C287" s="15"/>
      <c r="D287" s="56"/>
      <c r="E287" s="56"/>
      <c r="F287" s="56"/>
      <c r="G287" s="57"/>
      <c r="H287" s="56"/>
      <c r="I287" s="56"/>
    </row>
    <row r="288" ht="15.75" customHeight="1">
      <c r="A288" s="55"/>
      <c r="B288" s="55"/>
      <c r="C288" s="55"/>
      <c r="D288" s="56"/>
      <c r="E288" s="56"/>
      <c r="F288" s="56"/>
      <c r="G288" s="57"/>
      <c r="H288" s="56"/>
      <c r="I288" s="56"/>
    </row>
    <row r="289" ht="15.75" customHeight="1">
      <c r="A289" s="15"/>
      <c r="B289" s="15"/>
      <c r="C289" s="15"/>
      <c r="D289" s="56"/>
      <c r="E289" s="56"/>
      <c r="F289" s="56"/>
      <c r="G289" s="57"/>
      <c r="H289" s="56"/>
      <c r="I289" s="56"/>
    </row>
    <row r="290" ht="15.75" customHeight="1">
      <c r="A290" s="55"/>
      <c r="B290" s="55"/>
      <c r="C290" s="55"/>
      <c r="D290" s="56"/>
      <c r="E290" s="56"/>
      <c r="F290" s="56"/>
      <c r="G290" s="57"/>
      <c r="H290" s="56"/>
      <c r="I290" s="56"/>
    </row>
    <row r="291" ht="15.75" customHeight="1">
      <c r="A291" s="15"/>
      <c r="B291" s="15"/>
      <c r="C291" s="15"/>
      <c r="D291" s="56"/>
      <c r="E291" s="56"/>
      <c r="F291" s="56"/>
      <c r="G291" s="57"/>
      <c r="H291" s="56"/>
      <c r="I291" s="56"/>
    </row>
    <row r="292" ht="15.75" customHeight="1">
      <c r="A292" s="55"/>
      <c r="B292" s="55"/>
      <c r="C292" s="55"/>
      <c r="D292" s="56"/>
      <c r="E292" s="56"/>
      <c r="F292" s="56"/>
      <c r="G292" s="57"/>
      <c r="H292" s="56"/>
      <c r="I292" s="56"/>
    </row>
    <row r="293" ht="15.75" customHeight="1">
      <c r="A293" s="15"/>
      <c r="B293" s="15"/>
      <c r="C293" s="15"/>
      <c r="D293" s="56"/>
      <c r="E293" s="56"/>
      <c r="F293" s="56"/>
      <c r="G293" s="57"/>
      <c r="H293" s="56"/>
      <c r="I293" s="56"/>
    </row>
    <row r="294" ht="15.75" customHeight="1">
      <c r="A294" s="55"/>
      <c r="B294" s="55"/>
      <c r="C294" s="55"/>
      <c r="D294" s="56"/>
      <c r="E294" s="56"/>
      <c r="F294" s="56"/>
      <c r="G294" s="57"/>
      <c r="H294" s="56"/>
      <c r="I294" s="56"/>
    </row>
    <row r="295" ht="15.75" customHeight="1">
      <c r="A295" s="15"/>
      <c r="B295" s="15"/>
      <c r="C295" s="15"/>
      <c r="D295" s="56"/>
      <c r="E295" s="56"/>
      <c r="F295" s="56"/>
      <c r="G295" s="57"/>
      <c r="H295" s="56"/>
      <c r="I295" s="56"/>
    </row>
    <row r="296" ht="15.75" customHeight="1">
      <c r="A296" s="55"/>
      <c r="B296" s="55"/>
      <c r="C296" s="55"/>
      <c r="D296" s="56"/>
      <c r="E296" s="56"/>
      <c r="F296" s="56"/>
      <c r="G296" s="57"/>
      <c r="H296" s="56"/>
      <c r="I296" s="56"/>
    </row>
    <row r="297" ht="15.75" customHeight="1">
      <c r="A297" s="15"/>
      <c r="B297" s="15"/>
      <c r="C297" s="15"/>
      <c r="D297" s="56"/>
      <c r="E297" s="56"/>
      <c r="F297" s="56"/>
      <c r="G297" s="57"/>
      <c r="H297" s="56"/>
      <c r="I297" s="56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</row>
    <row r="299" ht="15.75" customHeight="1">
      <c r="A299" s="15"/>
      <c r="B299" s="15"/>
      <c r="C299" s="15"/>
      <c r="D299" s="56"/>
      <c r="E299" s="56"/>
      <c r="F299" s="56"/>
      <c r="G299" s="57"/>
      <c r="H299" s="56"/>
      <c r="I299" s="56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</row>
    <row r="301" ht="15.75" customHeight="1">
      <c r="A301" s="15"/>
      <c r="B301" s="15"/>
      <c r="C301" s="15"/>
      <c r="D301" s="56"/>
      <c r="E301" s="56"/>
      <c r="F301" s="56"/>
      <c r="G301" s="57"/>
      <c r="H301" s="56"/>
      <c r="I301" s="56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</row>
    <row r="303" ht="15.75" customHeight="1">
      <c r="A303" s="15"/>
      <c r="B303" s="15"/>
      <c r="C303" s="15"/>
      <c r="D303" s="56"/>
      <c r="E303" s="56"/>
      <c r="F303" s="56"/>
      <c r="G303" s="57"/>
      <c r="H303" s="56"/>
      <c r="I303" s="56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</row>
    <row r="305" ht="15.75" customHeight="1">
      <c r="A305" s="15"/>
      <c r="B305" s="15"/>
      <c r="C305" s="15"/>
      <c r="D305" s="56"/>
      <c r="E305" s="56"/>
      <c r="F305" s="56"/>
      <c r="G305" s="57"/>
      <c r="H305" s="56"/>
      <c r="I305" s="56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</row>
    <row r="307" ht="15.75" customHeight="1">
      <c r="A307" s="15"/>
      <c r="B307" s="15"/>
      <c r="C307" s="15"/>
      <c r="D307" s="56"/>
      <c r="E307" s="56"/>
      <c r="F307" s="56"/>
      <c r="G307" s="57"/>
      <c r="H307" s="56"/>
      <c r="I307" s="56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</row>
    <row r="309" ht="15.75" customHeight="1">
      <c r="A309" s="15"/>
      <c r="B309" s="15"/>
      <c r="C309" s="15"/>
      <c r="D309" s="56"/>
      <c r="E309" s="56"/>
      <c r="F309" s="56"/>
      <c r="G309" s="57"/>
      <c r="H309" s="56"/>
      <c r="I309" s="56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</row>
    <row r="311" ht="15.75" customHeight="1">
      <c r="A311" s="15"/>
      <c r="B311" s="15"/>
      <c r="C311" s="15"/>
      <c r="D311" s="56"/>
      <c r="E311" s="56"/>
      <c r="F311" s="56"/>
      <c r="G311" s="57"/>
      <c r="H311" s="56"/>
      <c r="I311" s="56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</row>
    <row r="313" ht="15.75" customHeight="1">
      <c r="A313" s="15"/>
      <c r="B313" s="15"/>
      <c r="C313" s="15"/>
      <c r="D313" s="56"/>
      <c r="E313" s="56"/>
      <c r="F313" s="56"/>
      <c r="G313" s="57"/>
      <c r="H313" s="56"/>
      <c r="I313" s="56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</row>
    <row r="315" ht="15.75" customHeight="1">
      <c r="A315" s="15"/>
      <c r="B315" s="15"/>
      <c r="C315" s="15"/>
      <c r="D315" s="56"/>
      <c r="E315" s="56"/>
      <c r="F315" s="56"/>
      <c r="G315" s="57"/>
      <c r="H315" s="56"/>
      <c r="I315" s="56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</row>
    <row r="317" ht="15.75" customHeight="1">
      <c r="A317" s="15"/>
      <c r="B317" s="15"/>
      <c r="C317" s="15"/>
      <c r="D317" s="56"/>
      <c r="E317" s="56"/>
      <c r="F317" s="56"/>
      <c r="G317" s="57"/>
      <c r="H317" s="56"/>
      <c r="I317" s="56"/>
    </row>
    <row r="318" ht="15.75" customHeight="1">
      <c r="A318" s="65" t="s">
        <v>1070</v>
      </c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G1"/>
    <mergeCell ref="A318:I318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1"/>
    <hyperlink r:id="rId2" ref="H62"/>
    <hyperlink r:id="rId3" ref="H63"/>
    <hyperlink r:id="rId4" ref="H64"/>
    <hyperlink r:id="rId5" ref="H65"/>
    <hyperlink r:id="rId6" ref="H66"/>
    <hyperlink r:id="rId7" ref="H67"/>
    <hyperlink r:id="rId8" ref="H68"/>
    <hyperlink r:id="rId9" ref="H69"/>
    <hyperlink r:id="rId10" ref="H70"/>
    <hyperlink r:id="rId11" ref="H71"/>
    <hyperlink r:id="rId12" ref="H72"/>
    <hyperlink r:id="rId13" ref="H73"/>
    <hyperlink r:id="rId14" ref="H74"/>
    <hyperlink r:id="rId15" ref="H75"/>
    <hyperlink r:id="rId16" ref="H76"/>
    <hyperlink r:id="rId17" ref="H77"/>
    <hyperlink r:id="rId18" ref="H78"/>
    <hyperlink r:id="rId19" ref="H79"/>
    <hyperlink r:id="rId20" ref="H80"/>
    <hyperlink r:id="rId21" ref="H81"/>
    <hyperlink r:id="rId22" ref="H82"/>
    <hyperlink r:id="rId23" ref="H83"/>
    <hyperlink r:id="rId24" ref="H84"/>
    <hyperlink r:id="rId25" ref="H85"/>
    <hyperlink r:id="rId26" ref="H86"/>
    <hyperlink r:id="rId27" ref="H87"/>
    <hyperlink r:id="rId28" ref="H88"/>
    <hyperlink r:id="rId29" ref="H89"/>
    <hyperlink r:id="rId30" ref="H90"/>
    <hyperlink r:id="rId31" ref="H91"/>
    <hyperlink r:id="rId32" ref="H92"/>
    <hyperlink r:id="rId33" ref="H93"/>
    <hyperlink r:id="rId34" ref="H94"/>
    <hyperlink r:id="rId35" ref="H95"/>
    <hyperlink r:id="rId36" ref="H96"/>
    <hyperlink r:id="rId37" ref="H97"/>
    <hyperlink r:id="rId38" ref="H98"/>
    <hyperlink r:id="rId39" ref="H99"/>
    <hyperlink r:id="rId40" ref="H100"/>
    <hyperlink r:id="rId41" ref="H101"/>
    <hyperlink r:id="rId42" ref="H102"/>
    <hyperlink r:id="rId43" ref="H103"/>
    <hyperlink r:id="rId44" ref="H104"/>
    <hyperlink r:id="rId45" ref="H105"/>
    <hyperlink r:id="rId46" ref="H106"/>
    <hyperlink r:id="rId47" ref="H107"/>
    <hyperlink r:id="rId48" ref="H108"/>
    <hyperlink r:id="rId49" ref="H109"/>
    <hyperlink r:id="rId50" ref="H110"/>
    <hyperlink r:id="rId51" ref="H111"/>
    <hyperlink r:id="rId52" ref="H112"/>
    <hyperlink r:id="rId53" ref="H113"/>
    <hyperlink r:id="rId54" ref="H114"/>
    <hyperlink r:id="rId55" ref="H115"/>
    <hyperlink r:id="rId56" ref="H116"/>
    <hyperlink r:id="rId57" ref="H117"/>
    <hyperlink r:id="rId58" ref="H118"/>
    <hyperlink r:id="rId59" ref="H119"/>
    <hyperlink r:id="rId60" ref="H120"/>
    <hyperlink r:id="rId61" ref="H121"/>
    <hyperlink r:id="rId62" ref="H122"/>
    <hyperlink r:id="rId63" ref="H123"/>
    <hyperlink r:id="rId64" ref="H124"/>
    <hyperlink r:id="rId65" ref="H125"/>
    <hyperlink r:id="rId66" ref="H126"/>
    <hyperlink r:id="rId67" ref="H127"/>
    <hyperlink r:id="rId68" ref="H128"/>
    <hyperlink r:id="rId69" ref="H129"/>
    <hyperlink r:id="rId70" ref="H130"/>
    <hyperlink r:id="rId71" ref="H131"/>
    <hyperlink r:id="rId72" ref="H132"/>
    <hyperlink r:id="rId73" ref="H133"/>
    <hyperlink r:id="rId74" ref="H134"/>
    <hyperlink r:id="rId75" ref="H135"/>
    <hyperlink r:id="rId76" ref="H136"/>
    <hyperlink r:id="rId77" ref="H137"/>
    <hyperlink r:id="rId78" ref="H138"/>
    <hyperlink r:id="rId79" ref="H139"/>
    <hyperlink r:id="rId80" ref="H140"/>
    <hyperlink r:id="rId81" ref="H141"/>
    <hyperlink r:id="rId82" ref="H142"/>
    <hyperlink r:id="rId83" ref="H143"/>
    <hyperlink r:id="rId84" ref="H144"/>
    <hyperlink r:id="rId85" ref="H145"/>
    <hyperlink r:id="rId86" ref="H146"/>
    <hyperlink r:id="rId87" ref="H147"/>
    <hyperlink r:id="rId88" ref="H148"/>
    <hyperlink r:id="rId89" ref="H149"/>
    <hyperlink r:id="rId90" ref="H150"/>
    <hyperlink r:id="rId91" ref="H151"/>
    <hyperlink r:id="rId92" ref="H152"/>
    <hyperlink r:id="rId93" ref="H153"/>
    <hyperlink r:id="rId94" ref="H154"/>
    <hyperlink r:id="rId95" ref="H155"/>
    <hyperlink r:id="rId96" ref="H156"/>
    <hyperlink r:id="rId97" ref="H157"/>
    <hyperlink r:id="rId98" ref="H158"/>
    <hyperlink r:id="rId99" ref="H159"/>
    <hyperlink r:id="rId100" ref="H160"/>
    <hyperlink r:id="rId101" ref="H161"/>
    <hyperlink r:id="rId102" ref="H162"/>
    <hyperlink r:id="rId103" ref="H163"/>
    <hyperlink r:id="rId104" ref="H164"/>
    <hyperlink r:id="rId105" ref="H165"/>
    <hyperlink r:id="rId106" ref="H166"/>
    <hyperlink r:id="rId107" ref="H167"/>
    <hyperlink r:id="rId108" ref="H168"/>
    <hyperlink r:id="rId109" ref="H169"/>
    <hyperlink r:id="rId110" ref="H170"/>
    <hyperlink r:id="rId111" ref="H171"/>
    <hyperlink r:id="rId112" ref="H172"/>
    <hyperlink r:id="rId113" ref="H173"/>
    <hyperlink r:id="rId114" ref="H174"/>
    <hyperlink r:id="rId115" ref="H175"/>
    <hyperlink r:id="rId116" ref="H176"/>
    <hyperlink r:id="rId117" ref="H177"/>
    <hyperlink r:id="rId118" ref="H178"/>
    <hyperlink r:id="rId119" ref="H179"/>
    <hyperlink r:id="rId120" ref="H180"/>
    <hyperlink r:id="rId121" ref="H181"/>
    <hyperlink r:id="rId122" ref="H182"/>
    <hyperlink r:id="rId123" ref="H183"/>
    <hyperlink r:id="rId124" ref="H184"/>
    <hyperlink r:id="rId125" ref="H185"/>
    <hyperlink r:id="rId126" ref="H186"/>
    <hyperlink r:id="rId127" ref="H187"/>
    <hyperlink r:id="rId128" ref="H188"/>
    <hyperlink r:id="rId129" ref="H189"/>
    <hyperlink r:id="rId130" ref="H190"/>
    <hyperlink r:id="rId131" ref="H191"/>
    <hyperlink r:id="rId132" ref="H192"/>
    <hyperlink r:id="rId133" ref="H193"/>
    <hyperlink r:id="rId134" ref="H194"/>
    <hyperlink r:id="rId135" ref="H195"/>
    <hyperlink r:id="rId136" ref="H196"/>
    <hyperlink r:id="rId137" ref="H197"/>
    <hyperlink r:id="rId138" ref="H198"/>
    <hyperlink r:id="rId139" ref="H199"/>
    <hyperlink r:id="rId140" ref="H200"/>
    <hyperlink r:id="rId141" ref="H201"/>
    <hyperlink r:id="rId142" ref="H202"/>
    <hyperlink r:id="rId143" ref="H203"/>
    <hyperlink r:id="rId144" ref="H204"/>
    <hyperlink r:id="rId145" ref="H205"/>
    <hyperlink r:id="rId146" ref="H206"/>
    <hyperlink r:id="rId147" ref="H207"/>
    <hyperlink r:id="rId148" ref="H208"/>
    <hyperlink r:id="rId149" ref="H209"/>
    <hyperlink r:id="rId150" ref="H210"/>
    <hyperlink r:id="rId151" ref="H211"/>
    <hyperlink r:id="rId152" ref="H212"/>
    <hyperlink r:id="rId153" ref="H213"/>
    <hyperlink r:id="rId154" ref="H214"/>
    <hyperlink r:id="rId155" ref="H215"/>
    <hyperlink r:id="rId156" ref="H216"/>
    <hyperlink r:id="rId157" ref="H217"/>
    <hyperlink r:id="rId158" ref="H218"/>
    <hyperlink r:id="rId159" ref="H219"/>
    <hyperlink r:id="rId160" ref="H220"/>
    <hyperlink r:id="rId161" ref="H221"/>
    <hyperlink r:id="rId162" ref="H222"/>
    <hyperlink r:id="rId163" ref="H223"/>
    <hyperlink r:id="rId164" ref="H224"/>
    <hyperlink r:id="rId165" ref="H225"/>
    <hyperlink r:id="rId166" ref="H226"/>
    <hyperlink r:id="rId167" ref="H227"/>
    <hyperlink r:id="rId168" ref="H228"/>
    <hyperlink r:id="rId169" ref="H229"/>
    <hyperlink r:id="rId170" ref="H230"/>
    <hyperlink r:id="rId171" ref="H231"/>
    <hyperlink r:id="rId172" ref="H232"/>
    <hyperlink r:id="rId173" ref="H233"/>
    <hyperlink r:id="rId174" ref="H234"/>
    <hyperlink r:id="rId175" ref="H235"/>
    <hyperlink r:id="rId176" ref="H236"/>
    <hyperlink r:id="rId177" ref="H237"/>
    <hyperlink r:id="rId178" ref="H238"/>
    <hyperlink r:id="rId179" ref="H239"/>
    <hyperlink r:id="rId180" ref="H240"/>
    <hyperlink r:id="rId181" ref="H241"/>
    <hyperlink r:id="rId182" ref="H242"/>
    <hyperlink r:id="rId183" ref="H243"/>
    <hyperlink r:id="rId184" ref="H244"/>
    <hyperlink r:id="rId185" ref="H245"/>
    <hyperlink r:id="rId186" ref="H246"/>
    <hyperlink r:id="rId187" ref="H247"/>
    <hyperlink r:id="rId188" ref="H248"/>
    <hyperlink r:id="rId189" ref="H249"/>
    <hyperlink r:id="rId190" ref="H250"/>
    <hyperlink r:id="rId191" ref="H251"/>
    <hyperlink r:id="rId192" ref="H252"/>
    <hyperlink r:id="rId193" ref="H253"/>
    <hyperlink r:id="rId194" ref="H254"/>
    <hyperlink r:id="rId195" ref="H255"/>
    <hyperlink r:id="rId196" ref="H256"/>
    <hyperlink r:id="rId197" ref="H257"/>
    <hyperlink r:id="rId198" ref="H258"/>
    <hyperlink r:id="rId199" ref="H259"/>
    <hyperlink r:id="rId200" ref="H260"/>
    <hyperlink r:id="rId201" ref="H261"/>
  </hyperlinks>
  <printOptions/>
  <pageMargins bottom="1.0" footer="0.0" header="0.0" left="0.75" right="0.75" top="1.0"/>
  <pageSetup orientation="landscape"/>
  <drawing r:id="rId2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25"/>
    <col customWidth="1" min="2" max="2" width="51.5"/>
    <col customWidth="1" min="3" max="3" width="9.38"/>
    <col customWidth="1" min="4" max="4" width="15.88"/>
    <col customWidth="1" min="5" max="5" width="13.63"/>
    <col customWidth="1" min="6" max="6" width="11.63"/>
    <col customWidth="1" min="7" max="7" width="84.0"/>
    <col customWidth="1" min="8" max="8" width="87.0"/>
    <col customWidth="1" min="9" max="9" width="17.0"/>
  </cols>
  <sheetData>
    <row r="1" ht="15.75" customHeight="1">
      <c r="A1" s="16" t="str">
        <f>"ABRIL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ABRIL DE 2026   •   RED [ ██████████ 100% ]   •   EDIT [ ██████████ 100% ]</v>
      </c>
      <c r="H1" s="17" t="s">
        <v>13</v>
      </c>
      <c r="I1" s="18" t="s">
        <v>14</v>
      </c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  <c r="I2" s="14"/>
    </row>
    <row r="3" ht="15.75" customHeight="1">
      <c r="A3" s="20">
        <v>10.0</v>
      </c>
      <c r="B3" s="21">
        <v>170.0</v>
      </c>
      <c r="C3" s="22">
        <f>COUNTA(B6:B1000)</f>
        <v>170</v>
      </c>
      <c r="D3" s="23">
        <f>COUNTIF(E6:E1000, "*✔*")</f>
        <v>170</v>
      </c>
      <c r="E3" s="24">
        <f>C3-D3</f>
        <v>0</v>
      </c>
      <c r="F3" s="25">
        <f>MAX(0, B3-C3)</f>
        <v>0</v>
      </c>
      <c r="G3" s="26">
        <f>569 + C3</f>
        <v>739</v>
      </c>
      <c r="H3" s="27"/>
      <c r="I3" s="14"/>
    </row>
    <row r="4" ht="15.75" customHeight="1">
      <c r="A4" s="14"/>
      <c r="B4" s="14"/>
      <c r="C4" s="14"/>
      <c r="D4" s="14"/>
      <c r="E4" s="14"/>
      <c r="F4" s="14"/>
      <c r="G4" s="14"/>
      <c r="H4" s="14"/>
      <c r="I4" s="14"/>
    </row>
    <row r="5" ht="15.75" customHeight="1">
      <c r="A5" s="54" t="s">
        <v>22</v>
      </c>
      <c r="B5" s="54" t="s">
        <v>23</v>
      </c>
      <c r="C5" s="54" t="s">
        <v>24</v>
      </c>
      <c r="D5" s="54" t="s">
        <v>25</v>
      </c>
      <c r="E5" s="54" t="s">
        <v>26</v>
      </c>
      <c r="F5" s="54" t="s">
        <v>27</v>
      </c>
      <c r="G5" s="54" t="s">
        <v>28</v>
      </c>
      <c r="H5" s="54" t="s">
        <v>29</v>
      </c>
      <c r="I5" s="54" t="s">
        <v>30</v>
      </c>
    </row>
    <row r="6" ht="15.75" customHeight="1">
      <c r="A6" s="37" t="str">
        <f t="shared" ref="A6:A15" si="1">HYPERLINK("https://drive.google.com/drive/folders/1k5ks3zaGR4UXYmnkOolcVVjfpZ7wm6QQ", "04 - ABR - 26 / 30/04 - QUI")</f>
        <v>04 - ABR - 26 / 30/04 - QUI</v>
      </c>
      <c r="B6" s="59" t="s">
        <v>1071</v>
      </c>
      <c r="C6" s="59" t="s">
        <v>86</v>
      </c>
      <c r="D6" s="60" t="s">
        <v>378</v>
      </c>
      <c r="E6" s="60" t="s">
        <v>378</v>
      </c>
      <c r="F6" s="60"/>
      <c r="G6" s="61" t="s">
        <v>1072</v>
      </c>
      <c r="H6" s="63" t="s">
        <v>1073</v>
      </c>
      <c r="I6" s="62">
        <v>46142.0</v>
      </c>
    </row>
    <row r="7" ht="15.75" customHeight="1">
      <c r="A7" s="29" t="str">
        <f t="shared" si="1"/>
        <v>04 - ABR - 26 / 30/04 - QUI</v>
      </c>
      <c r="B7" s="55" t="s">
        <v>1074</v>
      </c>
      <c r="C7" s="55" t="s">
        <v>86</v>
      </c>
      <c r="D7" s="56" t="s">
        <v>378</v>
      </c>
      <c r="E7" s="56" t="s">
        <v>378</v>
      </c>
      <c r="F7" s="56"/>
      <c r="G7" s="57" t="s">
        <v>1075</v>
      </c>
      <c r="H7" s="64" t="s">
        <v>1076</v>
      </c>
      <c r="I7" s="58">
        <v>46142.0</v>
      </c>
    </row>
    <row r="8" ht="15.75" customHeight="1">
      <c r="A8" s="29" t="str">
        <f t="shared" si="1"/>
        <v>04 - ABR - 26 / 30/04 - QUI</v>
      </c>
      <c r="B8" s="55" t="s">
        <v>1077</v>
      </c>
      <c r="C8" s="55" t="s">
        <v>86</v>
      </c>
      <c r="D8" s="56" t="s">
        <v>378</v>
      </c>
      <c r="E8" s="56" t="s">
        <v>378</v>
      </c>
      <c r="F8" s="56"/>
      <c r="G8" s="57" t="s">
        <v>1078</v>
      </c>
      <c r="H8" s="64" t="s">
        <v>1079</v>
      </c>
      <c r="I8" s="58">
        <v>46142.0</v>
      </c>
    </row>
    <row r="9" ht="15.75" customHeight="1">
      <c r="A9" s="29" t="str">
        <f t="shared" si="1"/>
        <v>04 - ABR - 26 / 30/04 - QUI</v>
      </c>
      <c r="B9" s="55" t="s">
        <v>1080</v>
      </c>
      <c r="C9" s="55" t="s">
        <v>86</v>
      </c>
      <c r="D9" s="56" t="s">
        <v>378</v>
      </c>
      <c r="E9" s="56" t="s">
        <v>378</v>
      </c>
      <c r="F9" s="56"/>
      <c r="G9" s="57" t="s">
        <v>1081</v>
      </c>
      <c r="H9" s="64" t="s">
        <v>1082</v>
      </c>
      <c r="I9" s="58">
        <v>46142.0</v>
      </c>
    </row>
    <row r="10" ht="15.75" customHeight="1">
      <c r="A10" s="29" t="str">
        <f t="shared" si="1"/>
        <v>04 - ABR - 26 / 30/04 - QUI</v>
      </c>
      <c r="B10" s="55" t="s">
        <v>1083</v>
      </c>
      <c r="C10" s="55" t="s">
        <v>86</v>
      </c>
      <c r="D10" s="56" t="s">
        <v>378</v>
      </c>
      <c r="E10" s="56" t="s">
        <v>378</v>
      </c>
      <c r="F10" s="56"/>
      <c r="G10" s="57" t="s">
        <v>1084</v>
      </c>
      <c r="H10" s="64" t="s">
        <v>1085</v>
      </c>
      <c r="I10" s="58">
        <v>46142.0</v>
      </c>
    </row>
    <row r="11" ht="15.75" customHeight="1">
      <c r="A11" s="29" t="str">
        <f t="shared" si="1"/>
        <v>04 - ABR - 26 / 30/04 - QUI</v>
      </c>
      <c r="B11" s="55" t="s">
        <v>1086</v>
      </c>
      <c r="C11" s="55" t="s">
        <v>86</v>
      </c>
      <c r="D11" s="56" t="s">
        <v>378</v>
      </c>
      <c r="E11" s="56" t="s">
        <v>378</v>
      </c>
      <c r="F11" s="56"/>
      <c r="G11" s="57" t="s">
        <v>1087</v>
      </c>
      <c r="H11" s="64" t="s">
        <v>1088</v>
      </c>
      <c r="I11" s="58">
        <v>46142.0</v>
      </c>
    </row>
    <row r="12" ht="15.75" customHeight="1">
      <c r="A12" s="29" t="str">
        <f t="shared" si="1"/>
        <v>04 - ABR - 26 / 30/04 - QUI</v>
      </c>
      <c r="B12" s="55" t="s">
        <v>1089</v>
      </c>
      <c r="C12" s="55" t="s">
        <v>86</v>
      </c>
      <c r="D12" s="56" t="s">
        <v>378</v>
      </c>
      <c r="E12" s="56" t="s">
        <v>378</v>
      </c>
      <c r="F12" s="56"/>
      <c r="G12" s="57" t="s">
        <v>1090</v>
      </c>
      <c r="H12" s="64" t="s">
        <v>1091</v>
      </c>
      <c r="I12" s="58">
        <v>46142.0</v>
      </c>
    </row>
    <row r="13" ht="15.75" customHeight="1">
      <c r="A13" s="29" t="str">
        <f t="shared" si="1"/>
        <v>04 - ABR - 26 / 30/04 - QUI</v>
      </c>
      <c r="B13" s="55" t="s">
        <v>1092</v>
      </c>
      <c r="C13" s="55" t="s">
        <v>86</v>
      </c>
      <c r="D13" s="56" t="s">
        <v>378</v>
      </c>
      <c r="E13" s="56" t="s">
        <v>378</v>
      </c>
      <c r="F13" s="56"/>
      <c r="G13" s="57" t="s">
        <v>1093</v>
      </c>
      <c r="H13" s="64" t="s">
        <v>1094</v>
      </c>
      <c r="I13" s="58">
        <v>46142.0</v>
      </c>
    </row>
    <row r="14" ht="15.75" customHeight="1">
      <c r="A14" s="29" t="str">
        <f t="shared" si="1"/>
        <v>04 - ABR - 26 / 30/04 - QUI</v>
      </c>
      <c r="B14" s="55" t="s">
        <v>1095</v>
      </c>
      <c r="C14" s="55" t="s">
        <v>86</v>
      </c>
      <c r="D14" s="56" t="s">
        <v>378</v>
      </c>
      <c r="E14" s="56" t="s">
        <v>378</v>
      </c>
      <c r="F14" s="56"/>
      <c r="G14" s="57" t="s">
        <v>1096</v>
      </c>
      <c r="H14" s="64" t="s">
        <v>1097</v>
      </c>
      <c r="I14" s="58">
        <v>46142.0</v>
      </c>
    </row>
    <row r="15" ht="15.75" customHeight="1">
      <c r="A15" s="29" t="str">
        <f t="shared" si="1"/>
        <v>04 - ABR - 26 / 30/04 - QUI</v>
      </c>
      <c r="B15" s="55" t="s">
        <v>1098</v>
      </c>
      <c r="C15" s="55" t="s">
        <v>86</v>
      </c>
      <c r="D15" s="56" t="s">
        <v>378</v>
      </c>
      <c r="E15" s="56" t="s">
        <v>378</v>
      </c>
      <c r="F15" s="56"/>
      <c r="G15" s="57" t="s">
        <v>1099</v>
      </c>
      <c r="H15" s="64" t="s">
        <v>1100</v>
      </c>
      <c r="I15" s="58">
        <v>46142.0</v>
      </c>
    </row>
    <row r="16" ht="15.75" customHeight="1">
      <c r="A16" s="37" t="str">
        <f t="shared" ref="A16:A25" si="2">HYPERLINK("https://drive.google.com/drive/folders/1rSn-Vo8prGuI5HzlqpLhKC6G8PyHV3p-", "04 - ABR - 26 / 29/04 - QUA")</f>
        <v>04 - ABR - 26 / 29/04 - QUA</v>
      </c>
      <c r="B16" s="59" t="s">
        <v>1101</v>
      </c>
      <c r="C16" s="59" t="s">
        <v>86</v>
      </c>
      <c r="D16" s="60" t="s">
        <v>378</v>
      </c>
      <c r="E16" s="60" t="s">
        <v>378</v>
      </c>
      <c r="F16" s="60"/>
      <c r="G16" s="61" t="s">
        <v>1102</v>
      </c>
      <c r="H16" s="63" t="s">
        <v>1103</v>
      </c>
      <c r="I16" s="62">
        <v>46142.0</v>
      </c>
    </row>
    <row r="17" ht="15.75" customHeight="1">
      <c r="A17" s="29" t="str">
        <f t="shared" si="2"/>
        <v>04 - ABR - 26 / 29/04 - QUA</v>
      </c>
      <c r="B17" s="55" t="s">
        <v>1104</v>
      </c>
      <c r="C17" s="55" t="s">
        <v>86</v>
      </c>
      <c r="D17" s="56" t="s">
        <v>378</v>
      </c>
      <c r="E17" s="56" t="s">
        <v>378</v>
      </c>
      <c r="F17" s="56"/>
      <c r="G17" s="57" t="s">
        <v>1105</v>
      </c>
      <c r="H17" s="64" t="s">
        <v>1106</v>
      </c>
      <c r="I17" s="58">
        <v>46142.0</v>
      </c>
    </row>
    <row r="18" ht="15.75" customHeight="1">
      <c r="A18" s="29" t="str">
        <f t="shared" si="2"/>
        <v>04 - ABR - 26 / 29/04 - QUA</v>
      </c>
      <c r="B18" s="55" t="s">
        <v>1107</v>
      </c>
      <c r="C18" s="55" t="s">
        <v>86</v>
      </c>
      <c r="D18" s="56" t="s">
        <v>378</v>
      </c>
      <c r="E18" s="56" t="s">
        <v>378</v>
      </c>
      <c r="F18" s="56"/>
      <c r="G18" s="57" t="s">
        <v>1108</v>
      </c>
      <c r="H18" s="64" t="s">
        <v>1109</v>
      </c>
      <c r="I18" s="58">
        <v>46142.0</v>
      </c>
    </row>
    <row r="19" ht="15.75" customHeight="1">
      <c r="A19" s="29" t="str">
        <f t="shared" si="2"/>
        <v>04 - ABR - 26 / 29/04 - QUA</v>
      </c>
      <c r="B19" s="55" t="s">
        <v>1110</v>
      </c>
      <c r="C19" s="55" t="s">
        <v>602</v>
      </c>
      <c r="D19" s="56" t="s">
        <v>378</v>
      </c>
      <c r="E19" s="56" t="s">
        <v>378</v>
      </c>
      <c r="F19" s="56"/>
      <c r="G19" s="57" t="s">
        <v>1111</v>
      </c>
      <c r="H19" s="64" t="s">
        <v>1112</v>
      </c>
      <c r="I19" s="58">
        <v>46141.0</v>
      </c>
    </row>
    <row r="20" ht="15.75" customHeight="1">
      <c r="A20" s="29" t="str">
        <f t="shared" si="2"/>
        <v>04 - ABR - 26 / 29/04 - QUA</v>
      </c>
      <c r="B20" s="55" t="s">
        <v>1113</v>
      </c>
      <c r="C20" s="55" t="s">
        <v>602</v>
      </c>
      <c r="D20" s="56" t="s">
        <v>378</v>
      </c>
      <c r="E20" s="56" t="s">
        <v>378</v>
      </c>
      <c r="F20" s="56"/>
      <c r="G20" s="57" t="s">
        <v>1114</v>
      </c>
      <c r="H20" s="64" t="s">
        <v>1115</v>
      </c>
      <c r="I20" s="58">
        <v>46141.0</v>
      </c>
    </row>
    <row r="21" ht="15.75" customHeight="1">
      <c r="A21" s="29" t="str">
        <f t="shared" si="2"/>
        <v>04 - ABR - 26 / 29/04 - QUA</v>
      </c>
      <c r="B21" s="55" t="s">
        <v>1116</v>
      </c>
      <c r="C21" s="55" t="s">
        <v>602</v>
      </c>
      <c r="D21" s="56" t="s">
        <v>378</v>
      </c>
      <c r="E21" s="56" t="s">
        <v>378</v>
      </c>
      <c r="F21" s="56"/>
      <c r="G21" s="57" t="s">
        <v>1117</v>
      </c>
      <c r="H21" s="64" t="s">
        <v>1118</v>
      </c>
      <c r="I21" s="58">
        <v>46141.0</v>
      </c>
    </row>
    <row r="22" ht="15.75" customHeight="1">
      <c r="A22" s="29" t="str">
        <f t="shared" si="2"/>
        <v>04 - ABR - 26 / 29/04 - QUA</v>
      </c>
      <c r="B22" s="55" t="s">
        <v>1119</v>
      </c>
      <c r="C22" s="55" t="s">
        <v>602</v>
      </c>
      <c r="D22" s="56" t="s">
        <v>378</v>
      </c>
      <c r="E22" s="56" t="s">
        <v>378</v>
      </c>
      <c r="F22" s="56"/>
      <c r="G22" s="57" t="s">
        <v>1120</v>
      </c>
      <c r="H22" s="64" t="s">
        <v>1121</v>
      </c>
      <c r="I22" s="58">
        <v>46141.0</v>
      </c>
    </row>
    <row r="23" ht="15.75" customHeight="1">
      <c r="A23" s="29" t="str">
        <f t="shared" si="2"/>
        <v>04 - ABR - 26 / 29/04 - QUA</v>
      </c>
      <c r="B23" s="55" t="s">
        <v>1122</v>
      </c>
      <c r="C23" s="55" t="s">
        <v>602</v>
      </c>
      <c r="D23" s="56" t="s">
        <v>378</v>
      </c>
      <c r="E23" s="56" t="s">
        <v>378</v>
      </c>
      <c r="F23" s="56"/>
      <c r="G23" s="57" t="s">
        <v>1123</v>
      </c>
      <c r="H23" s="64" t="s">
        <v>1124</v>
      </c>
      <c r="I23" s="58">
        <v>46141.0</v>
      </c>
    </row>
    <row r="24" ht="15.75" customHeight="1">
      <c r="A24" s="29" t="str">
        <f t="shared" si="2"/>
        <v>04 - ABR - 26 / 29/04 - QUA</v>
      </c>
      <c r="B24" s="55" t="s">
        <v>1125</v>
      </c>
      <c r="C24" s="55" t="s">
        <v>602</v>
      </c>
      <c r="D24" s="56" t="s">
        <v>378</v>
      </c>
      <c r="E24" s="56" t="s">
        <v>378</v>
      </c>
      <c r="F24" s="56"/>
      <c r="G24" s="57" t="s">
        <v>1126</v>
      </c>
      <c r="H24" s="64" t="s">
        <v>1127</v>
      </c>
      <c r="I24" s="58">
        <v>46141.0</v>
      </c>
    </row>
    <row r="25" ht="15.75" customHeight="1">
      <c r="A25" s="29" t="str">
        <f t="shared" si="2"/>
        <v>04 - ABR - 26 / 29/04 - QUA</v>
      </c>
      <c r="B25" s="55" t="s">
        <v>1128</v>
      </c>
      <c r="C25" s="55" t="s">
        <v>602</v>
      </c>
      <c r="D25" s="56" t="s">
        <v>378</v>
      </c>
      <c r="E25" s="56" t="s">
        <v>378</v>
      </c>
      <c r="F25" s="56"/>
      <c r="G25" s="57" t="s">
        <v>1129</v>
      </c>
      <c r="H25" s="64" t="s">
        <v>1130</v>
      </c>
      <c r="I25" s="58">
        <v>46141.0</v>
      </c>
    </row>
    <row r="26" ht="15.75" customHeight="1">
      <c r="A26" s="37" t="str">
        <f t="shared" ref="A26:A35" si="3">HYPERLINK("https://drive.google.com/drive/folders/1Wjd_uXqQe4AXIugjxeHUqBBQYOni_3QS", "04 - ABR - 26 / 28/04 - TER")</f>
        <v>04 - ABR - 26 / 28/04 - TER</v>
      </c>
      <c r="B26" s="59" t="s">
        <v>1131</v>
      </c>
      <c r="C26" s="59" t="s">
        <v>86</v>
      </c>
      <c r="D26" s="60" t="s">
        <v>378</v>
      </c>
      <c r="E26" s="60" t="s">
        <v>378</v>
      </c>
      <c r="F26" s="60"/>
      <c r="G26" s="61" t="s">
        <v>1132</v>
      </c>
      <c r="H26" s="63" t="s">
        <v>510</v>
      </c>
      <c r="I26" s="62">
        <v>46170.0</v>
      </c>
    </row>
    <row r="27" ht="15.75" customHeight="1">
      <c r="A27" s="29" t="str">
        <f t="shared" si="3"/>
        <v>04 - ABR - 26 / 28/04 - TER</v>
      </c>
      <c r="B27" s="55" t="s">
        <v>1133</v>
      </c>
      <c r="C27" s="55" t="s">
        <v>86</v>
      </c>
      <c r="D27" s="56" t="s">
        <v>378</v>
      </c>
      <c r="E27" s="56" t="s">
        <v>378</v>
      </c>
      <c r="F27" s="56"/>
      <c r="G27" s="57" t="s">
        <v>1134</v>
      </c>
      <c r="H27" s="64" t="s">
        <v>1135</v>
      </c>
      <c r="I27" s="58">
        <v>46140.0</v>
      </c>
    </row>
    <row r="28" ht="15.75" customHeight="1">
      <c r="A28" s="29" t="str">
        <f t="shared" si="3"/>
        <v>04 - ABR - 26 / 28/04 - TER</v>
      </c>
      <c r="B28" s="55" t="s">
        <v>1136</v>
      </c>
      <c r="C28" s="55" t="s">
        <v>86</v>
      </c>
      <c r="D28" s="56" t="s">
        <v>378</v>
      </c>
      <c r="E28" s="56" t="s">
        <v>378</v>
      </c>
      <c r="F28" s="56"/>
      <c r="G28" s="57" t="s">
        <v>1137</v>
      </c>
      <c r="H28" s="64" t="s">
        <v>1138</v>
      </c>
      <c r="I28" s="58">
        <v>46140.0</v>
      </c>
    </row>
    <row r="29" ht="15.75" customHeight="1">
      <c r="A29" s="29" t="str">
        <f t="shared" si="3"/>
        <v>04 - ABR - 26 / 28/04 - TER</v>
      </c>
      <c r="B29" s="55" t="s">
        <v>1139</v>
      </c>
      <c r="C29" s="55" t="s">
        <v>86</v>
      </c>
      <c r="D29" s="56" t="s">
        <v>378</v>
      </c>
      <c r="E29" s="56" t="s">
        <v>378</v>
      </c>
      <c r="F29" s="56"/>
      <c r="G29" s="57" t="s">
        <v>1140</v>
      </c>
      <c r="H29" s="64" t="s">
        <v>1141</v>
      </c>
      <c r="I29" s="58">
        <v>46140.0</v>
      </c>
    </row>
    <row r="30" ht="15.75" customHeight="1">
      <c r="A30" s="29" t="str">
        <f t="shared" si="3"/>
        <v>04 - ABR - 26 / 28/04 - TER</v>
      </c>
      <c r="B30" s="55" t="s">
        <v>1142</v>
      </c>
      <c r="C30" s="55" t="s">
        <v>86</v>
      </c>
      <c r="D30" s="56" t="s">
        <v>378</v>
      </c>
      <c r="E30" s="56" t="s">
        <v>378</v>
      </c>
      <c r="F30" s="56"/>
      <c r="G30" s="57" t="s">
        <v>1143</v>
      </c>
      <c r="H30" s="64" t="s">
        <v>1144</v>
      </c>
      <c r="I30" s="58">
        <v>46140.0</v>
      </c>
    </row>
    <row r="31" ht="15.75" customHeight="1">
      <c r="A31" s="29" t="str">
        <f t="shared" si="3"/>
        <v>04 - ABR - 26 / 28/04 - TER</v>
      </c>
      <c r="B31" s="55" t="s">
        <v>1145</v>
      </c>
      <c r="C31" s="55" t="s">
        <v>86</v>
      </c>
      <c r="D31" s="56" t="s">
        <v>378</v>
      </c>
      <c r="E31" s="56" t="s">
        <v>378</v>
      </c>
      <c r="F31" s="56"/>
      <c r="G31" s="57" t="s">
        <v>1146</v>
      </c>
      <c r="H31" s="64" t="s">
        <v>1147</v>
      </c>
      <c r="I31" s="58">
        <v>46140.0</v>
      </c>
    </row>
    <row r="32" ht="15.75" customHeight="1">
      <c r="A32" s="29" t="str">
        <f t="shared" si="3"/>
        <v>04 - ABR - 26 / 28/04 - TER</v>
      </c>
      <c r="B32" s="55" t="s">
        <v>1148</v>
      </c>
      <c r="C32" s="55" t="s">
        <v>86</v>
      </c>
      <c r="D32" s="56" t="s">
        <v>378</v>
      </c>
      <c r="E32" s="56" t="s">
        <v>378</v>
      </c>
      <c r="F32" s="56"/>
      <c r="G32" s="57" t="s">
        <v>1149</v>
      </c>
      <c r="H32" s="64" t="s">
        <v>1150</v>
      </c>
      <c r="I32" s="58">
        <v>46140.0</v>
      </c>
    </row>
    <row r="33" ht="15.75" customHeight="1">
      <c r="A33" s="29" t="str">
        <f t="shared" si="3"/>
        <v>04 - ABR - 26 / 28/04 - TER</v>
      </c>
      <c r="B33" s="55" t="s">
        <v>1151</v>
      </c>
      <c r="C33" s="55" t="s">
        <v>86</v>
      </c>
      <c r="D33" s="56" t="s">
        <v>378</v>
      </c>
      <c r="E33" s="56" t="s">
        <v>378</v>
      </c>
      <c r="F33" s="56"/>
      <c r="G33" s="57" t="s">
        <v>1152</v>
      </c>
      <c r="H33" s="64" t="s">
        <v>1153</v>
      </c>
      <c r="I33" s="58">
        <v>46140.0</v>
      </c>
    </row>
    <row r="34" ht="15.75" customHeight="1">
      <c r="A34" s="29" t="str">
        <f t="shared" si="3"/>
        <v>04 - ABR - 26 / 28/04 - TER</v>
      </c>
      <c r="B34" s="55" t="s">
        <v>1154</v>
      </c>
      <c r="C34" s="55" t="s">
        <v>86</v>
      </c>
      <c r="D34" s="56" t="s">
        <v>378</v>
      </c>
      <c r="E34" s="56" t="s">
        <v>378</v>
      </c>
      <c r="F34" s="56"/>
      <c r="G34" s="57" t="s">
        <v>1155</v>
      </c>
      <c r="H34" s="64" t="s">
        <v>1156</v>
      </c>
      <c r="I34" s="58">
        <v>46140.0</v>
      </c>
    </row>
    <row r="35" ht="15.75" customHeight="1">
      <c r="A35" s="29" t="str">
        <f t="shared" si="3"/>
        <v>04 - ABR - 26 / 28/04 - TER</v>
      </c>
      <c r="B35" s="55" t="s">
        <v>1157</v>
      </c>
      <c r="C35" s="55" t="s">
        <v>86</v>
      </c>
      <c r="D35" s="56" t="s">
        <v>378</v>
      </c>
      <c r="E35" s="56" t="s">
        <v>378</v>
      </c>
      <c r="F35" s="56"/>
      <c r="G35" s="57" t="s">
        <v>1158</v>
      </c>
      <c r="H35" s="64" t="s">
        <v>1159</v>
      </c>
      <c r="I35" s="58">
        <v>46140.0</v>
      </c>
    </row>
    <row r="36" ht="15.75" customHeight="1">
      <c r="A36" s="37" t="str">
        <f t="shared" ref="A36:A45" si="4">HYPERLINK("https://drive.google.com/drive/folders/12xE6chR-oLlKJcRTzn-gaaegI1PmGbyQ", "04 - ABR - 26 / 27/04 - SEG")</f>
        <v>04 - ABR - 26 / 27/04 - SEG</v>
      </c>
      <c r="B36" s="59" t="s">
        <v>1160</v>
      </c>
      <c r="C36" s="59" t="s">
        <v>86</v>
      </c>
      <c r="D36" s="60" t="s">
        <v>378</v>
      </c>
      <c r="E36" s="60" t="s">
        <v>378</v>
      </c>
      <c r="F36" s="60"/>
      <c r="G36" s="61" t="s">
        <v>1161</v>
      </c>
      <c r="H36" s="63" t="s">
        <v>1162</v>
      </c>
      <c r="I36" s="62">
        <v>46139.0</v>
      </c>
    </row>
    <row r="37" ht="15.75" customHeight="1">
      <c r="A37" s="29" t="str">
        <f t="shared" si="4"/>
        <v>04 - ABR - 26 / 27/04 - SEG</v>
      </c>
      <c r="B37" s="55" t="s">
        <v>1163</v>
      </c>
      <c r="C37" s="55" t="s">
        <v>86</v>
      </c>
      <c r="D37" s="56" t="s">
        <v>378</v>
      </c>
      <c r="E37" s="56" t="s">
        <v>378</v>
      </c>
      <c r="F37" s="56"/>
      <c r="G37" s="57" t="s">
        <v>1164</v>
      </c>
      <c r="H37" s="64" t="s">
        <v>1165</v>
      </c>
      <c r="I37" s="58">
        <v>46139.0</v>
      </c>
    </row>
    <row r="38" ht="15.75" customHeight="1">
      <c r="A38" s="29" t="str">
        <f t="shared" si="4"/>
        <v>04 - ABR - 26 / 27/04 - SEG</v>
      </c>
      <c r="B38" s="55" t="s">
        <v>1166</v>
      </c>
      <c r="C38" s="55" t="s">
        <v>86</v>
      </c>
      <c r="D38" s="56" t="s">
        <v>378</v>
      </c>
      <c r="E38" s="56" t="s">
        <v>378</v>
      </c>
      <c r="F38" s="56"/>
      <c r="G38" s="57" t="s">
        <v>1167</v>
      </c>
      <c r="H38" s="64" t="s">
        <v>1168</v>
      </c>
      <c r="I38" s="58">
        <v>46139.0</v>
      </c>
    </row>
    <row r="39" ht="15.75" customHeight="1">
      <c r="A39" s="29" t="str">
        <f t="shared" si="4"/>
        <v>04 - ABR - 26 / 27/04 - SEG</v>
      </c>
      <c r="B39" s="55" t="s">
        <v>1169</v>
      </c>
      <c r="C39" s="55" t="s">
        <v>602</v>
      </c>
      <c r="D39" s="56" t="s">
        <v>378</v>
      </c>
      <c r="E39" s="56" t="s">
        <v>378</v>
      </c>
      <c r="F39" s="56"/>
      <c r="G39" s="57" t="s">
        <v>1170</v>
      </c>
      <c r="H39" s="64" t="s">
        <v>1171</v>
      </c>
      <c r="I39" s="58">
        <v>46139.0</v>
      </c>
    </row>
    <row r="40" ht="15.75" customHeight="1">
      <c r="A40" s="29" t="str">
        <f t="shared" si="4"/>
        <v>04 - ABR - 26 / 27/04 - SEG</v>
      </c>
      <c r="B40" s="55" t="s">
        <v>1172</v>
      </c>
      <c r="C40" s="55" t="s">
        <v>602</v>
      </c>
      <c r="D40" s="56" t="s">
        <v>378</v>
      </c>
      <c r="E40" s="56" t="s">
        <v>378</v>
      </c>
      <c r="F40" s="56"/>
      <c r="G40" s="57" t="s">
        <v>1173</v>
      </c>
      <c r="H40" s="64" t="s">
        <v>1174</v>
      </c>
      <c r="I40" s="58">
        <v>46139.0</v>
      </c>
    </row>
    <row r="41" ht="15.75" customHeight="1">
      <c r="A41" s="29" t="str">
        <f t="shared" si="4"/>
        <v>04 - ABR - 26 / 27/04 - SEG</v>
      </c>
      <c r="B41" s="55" t="s">
        <v>1175</v>
      </c>
      <c r="C41" s="55" t="s">
        <v>602</v>
      </c>
      <c r="D41" s="56" t="s">
        <v>378</v>
      </c>
      <c r="E41" s="56" t="s">
        <v>378</v>
      </c>
      <c r="F41" s="56"/>
      <c r="G41" s="57" t="s">
        <v>1176</v>
      </c>
      <c r="H41" s="64" t="s">
        <v>1177</v>
      </c>
      <c r="I41" s="58">
        <v>46139.0</v>
      </c>
    </row>
    <row r="42" ht="15.75" customHeight="1">
      <c r="A42" s="29" t="str">
        <f t="shared" si="4"/>
        <v>04 - ABR - 26 / 27/04 - SEG</v>
      </c>
      <c r="B42" s="55" t="s">
        <v>1178</v>
      </c>
      <c r="C42" s="55" t="s">
        <v>602</v>
      </c>
      <c r="D42" s="56" t="s">
        <v>378</v>
      </c>
      <c r="E42" s="56" t="s">
        <v>378</v>
      </c>
      <c r="F42" s="56"/>
      <c r="G42" s="57" t="s">
        <v>1179</v>
      </c>
      <c r="H42" s="64" t="s">
        <v>1180</v>
      </c>
      <c r="I42" s="58">
        <v>46139.0</v>
      </c>
    </row>
    <row r="43" ht="15.75" customHeight="1">
      <c r="A43" s="29" t="str">
        <f t="shared" si="4"/>
        <v>04 - ABR - 26 / 27/04 - SEG</v>
      </c>
      <c r="B43" s="55" t="s">
        <v>1181</v>
      </c>
      <c r="C43" s="55" t="s">
        <v>602</v>
      </c>
      <c r="D43" s="56" t="s">
        <v>378</v>
      </c>
      <c r="E43" s="56" t="s">
        <v>378</v>
      </c>
      <c r="F43" s="56"/>
      <c r="G43" s="57" t="s">
        <v>1182</v>
      </c>
      <c r="H43" s="64" t="s">
        <v>1183</v>
      </c>
      <c r="I43" s="58">
        <v>46139.0</v>
      </c>
    </row>
    <row r="44" ht="15.75" customHeight="1">
      <c r="A44" s="29" t="str">
        <f t="shared" si="4"/>
        <v>04 - ABR - 26 / 27/04 - SEG</v>
      </c>
      <c r="B44" s="55" t="s">
        <v>1184</v>
      </c>
      <c r="C44" s="55" t="s">
        <v>602</v>
      </c>
      <c r="D44" s="56" t="s">
        <v>378</v>
      </c>
      <c r="E44" s="56" t="s">
        <v>378</v>
      </c>
      <c r="F44" s="56"/>
      <c r="G44" s="57" t="s">
        <v>1185</v>
      </c>
      <c r="H44" s="64" t="s">
        <v>1186</v>
      </c>
      <c r="I44" s="58">
        <v>46139.0</v>
      </c>
    </row>
    <row r="45" ht="15.75" customHeight="1">
      <c r="A45" s="29" t="str">
        <f t="shared" si="4"/>
        <v>04 - ABR - 26 / 27/04 - SEG</v>
      </c>
      <c r="B45" s="55" t="s">
        <v>1187</v>
      </c>
      <c r="C45" s="55" t="s">
        <v>602</v>
      </c>
      <c r="D45" s="56" t="s">
        <v>378</v>
      </c>
      <c r="E45" s="56" t="s">
        <v>378</v>
      </c>
      <c r="F45" s="56"/>
      <c r="G45" s="57" t="s">
        <v>1188</v>
      </c>
      <c r="H45" s="64" t="s">
        <v>1189</v>
      </c>
      <c r="I45" s="58">
        <v>46139.0</v>
      </c>
    </row>
    <row r="46" ht="15.75" customHeight="1">
      <c r="A46" s="37" t="str">
        <f t="shared" ref="A46:A55" si="5">HYPERLINK("https://drive.google.com/drive/folders/1EJe1Hofie2k1sO-I7q2nvN0BGpRbGGO7", "04 - ABR - 26 / 24/04 - SEX")</f>
        <v>04 - ABR - 26 / 24/04 - SEX</v>
      </c>
      <c r="B46" s="59" t="s">
        <v>1190</v>
      </c>
      <c r="C46" s="59" t="s">
        <v>602</v>
      </c>
      <c r="D46" s="60" t="s">
        <v>378</v>
      </c>
      <c r="E46" s="60" t="s">
        <v>378</v>
      </c>
      <c r="F46" s="60"/>
      <c r="G46" s="61" t="s">
        <v>1191</v>
      </c>
      <c r="H46" s="63" t="s">
        <v>1192</v>
      </c>
      <c r="I46" s="62">
        <v>46139.0</v>
      </c>
    </row>
    <row r="47" ht="15.75" customHeight="1">
      <c r="A47" s="29" t="str">
        <f t="shared" si="5"/>
        <v>04 - ABR - 26 / 24/04 - SEX</v>
      </c>
      <c r="B47" s="55" t="s">
        <v>1193</v>
      </c>
      <c r="C47" s="55" t="s">
        <v>602</v>
      </c>
      <c r="D47" s="56" t="s">
        <v>378</v>
      </c>
      <c r="E47" s="56" t="s">
        <v>378</v>
      </c>
      <c r="F47" s="56"/>
      <c r="G47" s="57" t="s">
        <v>1194</v>
      </c>
      <c r="H47" s="64" t="s">
        <v>1195</v>
      </c>
      <c r="I47" s="58">
        <v>46139.0</v>
      </c>
    </row>
    <row r="48" ht="15.75" customHeight="1">
      <c r="A48" s="29" t="str">
        <f t="shared" si="5"/>
        <v>04 - ABR - 26 / 24/04 - SEX</v>
      </c>
      <c r="B48" s="55" t="s">
        <v>1196</v>
      </c>
      <c r="C48" s="55" t="s">
        <v>602</v>
      </c>
      <c r="D48" s="56" t="s">
        <v>378</v>
      </c>
      <c r="E48" s="56" t="s">
        <v>378</v>
      </c>
      <c r="F48" s="56"/>
      <c r="G48" s="57" t="s">
        <v>1197</v>
      </c>
      <c r="H48" s="64" t="s">
        <v>1198</v>
      </c>
      <c r="I48" s="58">
        <v>46139.0</v>
      </c>
    </row>
    <row r="49" ht="15.75" customHeight="1">
      <c r="A49" s="29" t="str">
        <f t="shared" si="5"/>
        <v>04 - ABR - 26 / 24/04 - SEX</v>
      </c>
      <c r="B49" s="55" t="s">
        <v>1199</v>
      </c>
      <c r="C49" s="55" t="s">
        <v>602</v>
      </c>
      <c r="D49" s="56" t="s">
        <v>378</v>
      </c>
      <c r="E49" s="56" t="s">
        <v>378</v>
      </c>
      <c r="F49" s="56"/>
      <c r="G49" s="57" t="s">
        <v>1200</v>
      </c>
      <c r="H49" s="64" t="s">
        <v>1201</v>
      </c>
      <c r="I49" s="58">
        <v>46139.0</v>
      </c>
    </row>
    <row r="50" ht="15.75" customHeight="1">
      <c r="A50" s="29" t="str">
        <f t="shared" si="5"/>
        <v>04 - ABR - 26 / 24/04 - SEX</v>
      </c>
      <c r="B50" s="55" t="s">
        <v>1202</v>
      </c>
      <c r="C50" s="55" t="s">
        <v>602</v>
      </c>
      <c r="D50" s="56" t="s">
        <v>378</v>
      </c>
      <c r="E50" s="56" t="s">
        <v>378</v>
      </c>
      <c r="F50" s="56"/>
      <c r="G50" s="57" t="s">
        <v>1203</v>
      </c>
      <c r="H50" s="64" t="s">
        <v>1204</v>
      </c>
      <c r="I50" s="58">
        <v>46136.0</v>
      </c>
    </row>
    <row r="51" ht="15.75" customHeight="1">
      <c r="A51" s="29" t="str">
        <f t="shared" si="5"/>
        <v>04 - ABR - 26 / 24/04 - SEX</v>
      </c>
      <c r="B51" s="55" t="s">
        <v>1205</v>
      </c>
      <c r="C51" s="55" t="s">
        <v>602</v>
      </c>
      <c r="D51" s="56" t="s">
        <v>378</v>
      </c>
      <c r="E51" s="56" t="s">
        <v>378</v>
      </c>
      <c r="F51" s="56"/>
      <c r="G51" s="57" t="s">
        <v>1206</v>
      </c>
      <c r="H51" s="64" t="s">
        <v>1207</v>
      </c>
      <c r="I51" s="58">
        <v>46136.0</v>
      </c>
    </row>
    <row r="52" ht="15.75" customHeight="1">
      <c r="A52" s="29" t="str">
        <f t="shared" si="5"/>
        <v>04 - ABR - 26 / 24/04 - SEX</v>
      </c>
      <c r="B52" s="55" t="s">
        <v>1208</v>
      </c>
      <c r="C52" s="55" t="s">
        <v>602</v>
      </c>
      <c r="D52" s="56" t="s">
        <v>378</v>
      </c>
      <c r="E52" s="56" t="s">
        <v>378</v>
      </c>
      <c r="F52" s="56"/>
      <c r="G52" s="57" t="s">
        <v>1209</v>
      </c>
      <c r="H52" s="64" t="s">
        <v>1210</v>
      </c>
      <c r="I52" s="58">
        <v>46136.0</v>
      </c>
    </row>
    <row r="53" ht="15.75" customHeight="1">
      <c r="A53" s="29" t="str">
        <f t="shared" si="5"/>
        <v>04 - ABR - 26 / 24/04 - SEX</v>
      </c>
      <c r="B53" s="55" t="s">
        <v>1211</v>
      </c>
      <c r="C53" s="55" t="s">
        <v>602</v>
      </c>
      <c r="D53" s="56" t="s">
        <v>378</v>
      </c>
      <c r="E53" s="56" t="s">
        <v>378</v>
      </c>
      <c r="F53" s="56"/>
      <c r="G53" s="57" t="s">
        <v>1212</v>
      </c>
      <c r="H53" s="64" t="s">
        <v>1213</v>
      </c>
      <c r="I53" s="58">
        <v>46136.0</v>
      </c>
    </row>
    <row r="54" ht="15.75" customHeight="1">
      <c r="A54" s="29" t="str">
        <f t="shared" si="5"/>
        <v>04 - ABR - 26 / 24/04 - SEX</v>
      </c>
      <c r="B54" s="55" t="s">
        <v>1214</v>
      </c>
      <c r="C54" s="55" t="s">
        <v>602</v>
      </c>
      <c r="D54" s="56" t="s">
        <v>378</v>
      </c>
      <c r="E54" s="56" t="s">
        <v>378</v>
      </c>
      <c r="F54" s="56"/>
      <c r="G54" s="57" t="s">
        <v>1215</v>
      </c>
      <c r="H54" s="64" t="s">
        <v>1216</v>
      </c>
      <c r="I54" s="58">
        <v>46136.0</v>
      </c>
    </row>
    <row r="55" ht="15.75" customHeight="1">
      <c r="A55" s="29" t="str">
        <f t="shared" si="5"/>
        <v>04 - ABR - 26 / 24/04 - SEX</v>
      </c>
      <c r="B55" s="55" t="s">
        <v>1217</v>
      </c>
      <c r="C55" s="55" t="s">
        <v>602</v>
      </c>
      <c r="D55" s="56" t="s">
        <v>378</v>
      </c>
      <c r="E55" s="56" t="s">
        <v>378</v>
      </c>
      <c r="F55" s="56"/>
      <c r="G55" s="57" t="s">
        <v>1218</v>
      </c>
      <c r="H55" s="64" t="s">
        <v>1219</v>
      </c>
      <c r="I55" s="58">
        <v>46136.0</v>
      </c>
    </row>
    <row r="56" ht="15.75" customHeight="1">
      <c r="A56" s="37" t="str">
        <f t="shared" ref="A56:A65" si="6">HYPERLINK("https://drive.google.com/drive/folders/1xnteOF-AFnGE_y0qYf37fwRsZ-JtTT1w", "04 - ABR - 26 / 23/04 -QUI")</f>
        <v>04 - ABR - 26 / 23/04 -QUI</v>
      </c>
      <c r="B56" s="59" t="s">
        <v>1220</v>
      </c>
      <c r="C56" s="59" t="s">
        <v>86</v>
      </c>
      <c r="D56" s="60" t="s">
        <v>378</v>
      </c>
      <c r="E56" s="60" t="s">
        <v>378</v>
      </c>
      <c r="F56" s="60"/>
      <c r="G56" s="61" t="s">
        <v>1221</v>
      </c>
      <c r="H56" s="63" t="s">
        <v>1222</v>
      </c>
      <c r="I56" s="62">
        <v>46135.0</v>
      </c>
    </row>
    <row r="57" ht="15.75" customHeight="1">
      <c r="A57" s="29" t="str">
        <f t="shared" si="6"/>
        <v>04 - ABR - 26 / 23/04 -QUI</v>
      </c>
      <c r="B57" s="55" t="s">
        <v>1223</v>
      </c>
      <c r="C57" s="55" t="s">
        <v>86</v>
      </c>
      <c r="D57" s="56" t="s">
        <v>378</v>
      </c>
      <c r="E57" s="56" t="s">
        <v>378</v>
      </c>
      <c r="F57" s="56"/>
      <c r="G57" s="57" t="s">
        <v>1224</v>
      </c>
      <c r="H57" s="64" t="s">
        <v>1225</v>
      </c>
      <c r="I57" s="58">
        <v>46135.0</v>
      </c>
    </row>
    <row r="58" ht="15.75" customHeight="1">
      <c r="A58" s="29" t="str">
        <f t="shared" si="6"/>
        <v>04 - ABR - 26 / 23/04 -QUI</v>
      </c>
      <c r="B58" s="55" t="s">
        <v>1226</v>
      </c>
      <c r="C58" s="55" t="s">
        <v>86</v>
      </c>
      <c r="D58" s="56" t="s">
        <v>378</v>
      </c>
      <c r="E58" s="56" t="s">
        <v>378</v>
      </c>
      <c r="F58" s="56"/>
      <c r="G58" s="57" t="s">
        <v>1227</v>
      </c>
      <c r="H58" s="64" t="s">
        <v>1228</v>
      </c>
      <c r="I58" s="58">
        <v>46135.0</v>
      </c>
    </row>
    <row r="59" ht="15.75" customHeight="1">
      <c r="A59" s="29" t="str">
        <f t="shared" si="6"/>
        <v>04 - ABR - 26 / 23/04 -QUI</v>
      </c>
      <c r="B59" s="55" t="s">
        <v>1229</v>
      </c>
      <c r="C59" s="55" t="s">
        <v>86</v>
      </c>
      <c r="D59" s="56" t="s">
        <v>378</v>
      </c>
      <c r="E59" s="56" t="s">
        <v>378</v>
      </c>
      <c r="F59" s="56"/>
      <c r="G59" s="57" t="s">
        <v>1230</v>
      </c>
      <c r="H59" s="64" t="s">
        <v>1231</v>
      </c>
      <c r="I59" s="58">
        <v>46135.0</v>
      </c>
    </row>
    <row r="60" ht="15.75" customHeight="1">
      <c r="A60" s="29" t="str">
        <f t="shared" si="6"/>
        <v>04 - ABR - 26 / 23/04 -QUI</v>
      </c>
      <c r="B60" s="55" t="s">
        <v>1232</v>
      </c>
      <c r="C60" s="55" t="s">
        <v>602</v>
      </c>
      <c r="D60" s="56" t="s">
        <v>378</v>
      </c>
      <c r="E60" s="56" t="s">
        <v>378</v>
      </c>
      <c r="F60" s="56"/>
      <c r="G60" s="57" t="s">
        <v>1233</v>
      </c>
      <c r="H60" s="64" t="s">
        <v>1234</v>
      </c>
      <c r="I60" s="58">
        <v>46135.0</v>
      </c>
    </row>
    <row r="61" ht="15.75" customHeight="1">
      <c r="A61" s="29" t="str">
        <f t="shared" si="6"/>
        <v>04 - ABR - 26 / 23/04 -QUI</v>
      </c>
      <c r="B61" s="55" t="s">
        <v>1235</v>
      </c>
      <c r="C61" s="55" t="s">
        <v>602</v>
      </c>
      <c r="D61" s="56" t="s">
        <v>378</v>
      </c>
      <c r="E61" s="56" t="s">
        <v>378</v>
      </c>
      <c r="F61" s="56"/>
      <c r="G61" s="57" t="s">
        <v>1236</v>
      </c>
      <c r="H61" s="64" t="s">
        <v>1237</v>
      </c>
      <c r="I61" s="58">
        <v>46135.0</v>
      </c>
    </row>
    <row r="62" ht="15.75" customHeight="1">
      <c r="A62" s="29" t="str">
        <f t="shared" si="6"/>
        <v>04 - ABR - 26 / 23/04 -QUI</v>
      </c>
      <c r="B62" s="55" t="s">
        <v>1238</v>
      </c>
      <c r="C62" s="55" t="s">
        <v>602</v>
      </c>
      <c r="D62" s="56" t="s">
        <v>378</v>
      </c>
      <c r="E62" s="56" t="s">
        <v>378</v>
      </c>
      <c r="F62" s="56"/>
      <c r="G62" s="57" t="s">
        <v>1239</v>
      </c>
      <c r="H62" s="64" t="s">
        <v>1240</v>
      </c>
      <c r="I62" s="58">
        <v>46135.0</v>
      </c>
    </row>
    <row r="63" ht="15.75" customHeight="1">
      <c r="A63" s="29" t="str">
        <f t="shared" si="6"/>
        <v>04 - ABR - 26 / 23/04 -QUI</v>
      </c>
      <c r="B63" s="55" t="s">
        <v>1241</v>
      </c>
      <c r="C63" s="55" t="s">
        <v>602</v>
      </c>
      <c r="D63" s="56" t="s">
        <v>378</v>
      </c>
      <c r="E63" s="56" t="s">
        <v>378</v>
      </c>
      <c r="F63" s="56"/>
      <c r="G63" s="57" t="s">
        <v>1242</v>
      </c>
      <c r="H63" s="64" t="s">
        <v>1243</v>
      </c>
      <c r="I63" s="58">
        <v>46135.0</v>
      </c>
    </row>
    <row r="64" ht="15.75" customHeight="1">
      <c r="A64" s="29" t="str">
        <f t="shared" si="6"/>
        <v>04 - ABR - 26 / 23/04 -QUI</v>
      </c>
      <c r="B64" s="55" t="s">
        <v>1244</v>
      </c>
      <c r="C64" s="55" t="s">
        <v>602</v>
      </c>
      <c r="D64" s="56" t="s">
        <v>378</v>
      </c>
      <c r="E64" s="56" t="s">
        <v>378</v>
      </c>
      <c r="F64" s="56"/>
      <c r="G64" s="57" t="s">
        <v>1245</v>
      </c>
      <c r="H64" s="64" t="s">
        <v>1246</v>
      </c>
      <c r="I64" s="58">
        <v>46135.0</v>
      </c>
    </row>
    <row r="65" ht="15.75" customHeight="1">
      <c r="A65" s="29" t="str">
        <f t="shared" si="6"/>
        <v>04 - ABR - 26 / 23/04 -QUI</v>
      </c>
      <c r="B65" s="55" t="s">
        <v>1247</v>
      </c>
      <c r="C65" s="55" t="s">
        <v>86</v>
      </c>
      <c r="D65" s="56" t="s">
        <v>378</v>
      </c>
      <c r="E65" s="56" t="s">
        <v>378</v>
      </c>
      <c r="F65" s="56"/>
      <c r="G65" s="57" t="s">
        <v>1248</v>
      </c>
      <c r="H65" s="64" t="s">
        <v>1249</v>
      </c>
      <c r="I65" s="58">
        <v>46134.0</v>
      </c>
    </row>
    <row r="66" ht="15.75" customHeight="1">
      <c r="A66" s="37" t="str">
        <f t="shared" ref="A66:A75" si="7">HYPERLINK("https://drive.google.com/drive/folders/1xFiH6Hs7kYKBSsEwVhFyZxwaJ8Cj3osZ", "04 - ABR - 26 / 22/04 - QUA")</f>
        <v>04 - ABR - 26 / 22/04 - QUA</v>
      </c>
      <c r="B66" s="59" t="s">
        <v>1250</v>
      </c>
      <c r="C66" s="59" t="s">
        <v>86</v>
      </c>
      <c r="D66" s="60" t="s">
        <v>378</v>
      </c>
      <c r="E66" s="60" t="s">
        <v>378</v>
      </c>
      <c r="F66" s="60"/>
      <c r="G66" s="61" t="s">
        <v>1251</v>
      </c>
      <c r="H66" s="63" t="s">
        <v>1252</v>
      </c>
      <c r="I66" s="62">
        <v>46134.0</v>
      </c>
    </row>
    <row r="67" ht="15.75" customHeight="1">
      <c r="A67" s="29" t="str">
        <f t="shared" si="7"/>
        <v>04 - ABR - 26 / 22/04 - QUA</v>
      </c>
      <c r="B67" s="55" t="s">
        <v>1253</v>
      </c>
      <c r="C67" s="55" t="s">
        <v>86</v>
      </c>
      <c r="D67" s="56" t="s">
        <v>378</v>
      </c>
      <c r="E67" s="56" t="s">
        <v>378</v>
      </c>
      <c r="F67" s="56"/>
      <c r="G67" s="57" t="s">
        <v>1254</v>
      </c>
      <c r="H67" s="64" t="s">
        <v>1255</v>
      </c>
      <c r="I67" s="58">
        <v>46134.0</v>
      </c>
    </row>
    <row r="68" ht="15.75" customHeight="1">
      <c r="A68" s="29" t="str">
        <f t="shared" si="7"/>
        <v>04 - ABR - 26 / 22/04 - QUA</v>
      </c>
      <c r="B68" s="55" t="s">
        <v>1256</v>
      </c>
      <c r="C68" s="55" t="s">
        <v>602</v>
      </c>
      <c r="D68" s="56" t="s">
        <v>378</v>
      </c>
      <c r="E68" s="56" t="s">
        <v>378</v>
      </c>
      <c r="F68" s="56"/>
      <c r="G68" s="57" t="s">
        <v>1257</v>
      </c>
      <c r="H68" s="64" t="s">
        <v>1258</v>
      </c>
      <c r="I68" s="58">
        <v>46134.0</v>
      </c>
    </row>
    <row r="69" ht="15.75" customHeight="1">
      <c r="A69" s="29" t="str">
        <f t="shared" si="7"/>
        <v>04 - ABR - 26 / 22/04 - QUA</v>
      </c>
      <c r="B69" s="55" t="s">
        <v>1259</v>
      </c>
      <c r="C69" s="55" t="s">
        <v>602</v>
      </c>
      <c r="D69" s="56" t="s">
        <v>378</v>
      </c>
      <c r="E69" s="56" t="s">
        <v>378</v>
      </c>
      <c r="F69" s="56"/>
      <c r="G69" s="57" t="s">
        <v>1260</v>
      </c>
      <c r="H69" s="64" t="s">
        <v>1261</v>
      </c>
      <c r="I69" s="58">
        <v>46134.0</v>
      </c>
    </row>
    <row r="70" ht="15.75" customHeight="1">
      <c r="A70" s="29" t="str">
        <f t="shared" si="7"/>
        <v>04 - ABR - 26 / 22/04 - QUA</v>
      </c>
      <c r="B70" s="55" t="s">
        <v>1262</v>
      </c>
      <c r="C70" s="55" t="s">
        <v>602</v>
      </c>
      <c r="D70" s="56" t="s">
        <v>378</v>
      </c>
      <c r="E70" s="56" t="s">
        <v>378</v>
      </c>
      <c r="F70" s="56"/>
      <c r="G70" s="57" t="s">
        <v>1263</v>
      </c>
      <c r="H70" s="64" t="s">
        <v>1264</v>
      </c>
      <c r="I70" s="58">
        <v>46134.0</v>
      </c>
    </row>
    <row r="71" ht="15.75" customHeight="1">
      <c r="A71" s="29" t="str">
        <f t="shared" si="7"/>
        <v>04 - ABR - 26 / 22/04 - QUA</v>
      </c>
      <c r="B71" s="55" t="s">
        <v>1265</v>
      </c>
      <c r="C71" s="55" t="s">
        <v>602</v>
      </c>
      <c r="D71" s="56" t="s">
        <v>378</v>
      </c>
      <c r="E71" s="56" t="s">
        <v>378</v>
      </c>
      <c r="F71" s="56"/>
      <c r="G71" s="57" t="s">
        <v>1266</v>
      </c>
      <c r="H71" s="64" t="s">
        <v>1267</v>
      </c>
      <c r="I71" s="58">
        <v>46134.0</v>
      </c>
    </row>
    <row r="72" ht="15.75" customHeight="1">
      <c r="A72" s="29" t="str">
        <f t="shared" si="7"/>
        <v>04 - ABR - 26 / 22/04 - QUA</v>
      </c>
      <c r="B72" s="55" t="s">
        <v>1268</v>
      </c>
      <c r="C72" s="55" t="s">
        <v>602</v>
      </c>
      <c r="D72" s="56" t="s">
        <v>378</v>
      </c>
      <c r="E72" s="56" t="s">
        <v>378</v>
      </c>
      <c r="F72" s="56"/>
      <c r="G72" s="57" t="s">
        <v>1269</v>
      </c>
      <c r="H72" s="64" t="s">
        <v>1270</v>
      </c>
      <c r="I72" s="58">
        <v>46134.0</v>
      </c>
    </row>
    <row r="73" ht="15.75" customHeight="1">
      <c r="A73" s="29" t="str">
        <f t="shared" si="7"/>
        <v>04 - ABR - 26 / 22/04 - QUA</v>
      </c>
      <c r="B73" s="55" t="s">
        <v>1271</v>
      </c>
      <c r="C73" s="55" t="s">
        <v>602</v>
      </c>
      <c r="D73" s="56" t="s">
        <v>378</v>
      </c>
      <c r="E73" s="56" t="s">
        <v>378</v>
      </c>
      <c r="F73" s="56"/>
      <c r="G73" s="57" t="s">
        <v>1272</v>
      </c>
      <c r="H73" s="64" t="s">
        <v>1273</v>
      </c>
      <c r="I73" s="58">
        <v>46134.0</v>
      </c>
    </row>
    <row r="74" ht="15.75" customHeight="1">
      <c r="A74" s="29" t="str">
        <f t="shared" si="7"/>
        <v>04 - ABR - 26 / 22/04 - QUA</v>
      </c>
      <c r="B74" s="55" t="s">
        <v>1274</v>
      </c>
      <c r="C74" s="55" t="s">
        <v>602</v>
      </c>
      <c r="D74" s="56" t="s">
        <v>378</v>
      </c>
      <c r="E74" s="56" t="s">
        <v>378</v>
      </c>
      <c r="F74" s="56"/>
      <c r="G74" s="57" t="s">
        <v>1275</v>
      </c>
      <c r="H74" s="64" t="s">
        <v>1276</v>
      </c>
      <c r="I74" s="58">
        <v>46134.0</v>
      </c>
    </row>
    <row r="75" ht="15.75" customHeight="1">
      <c r="A75" s="29" t="str">
        <f t="shared" si="7"/>
        <v>04 - ABR - 26 / 22/04 - QUA</v>
      </c>
      <c r="B75" s="55" t="s">
        <v>1277</v>
      </c>
      <c r="C75" s="55" t="s">
        <v>602</v>
      </c>
      <c r="D75" s="56" t="s">
        <v>378</v>
      </c>
      <c r="E75" s="56" t="s">
        <v>378</v>
      </c>
      <c r="F75" s="56"/>
      <c r="G75" s="57" t="s">
        <v>1278</v>
      </c>
      <c r="H75" s="64" t="s">
        <v>1279</v>
      </c>
      <c r="I75" s="58">
        <v>46134.0</v>
      </c>
    </row>
    <row r="76" ht="15.75" customHeight="1">
      <c r="A76" s="37" t="str">
        <f t="shared" ref="A76:A85" si="8">HYPERLINK("https://drive.google.com/drive/folders/1NPCLZiID6zujd5Xo62NCR_Yx4CHTIij3", "04 - ABR - 26 / 17/04 - SEX")</f>
        <v>04 - ABR - 26 / 17/04 - SEX</v>
      </c>
      <c r="B76" s="59" t="s">
        <v>1280</v>
      </c>
      <c r="C76" s="59" t="s">
        <v>602</v>
      </c>
      <c r="D76" s="60" t="s">
        <v>378</v>
      </c>
      <c r="E76" s="60" t="s">
        <v>378</v>
      </c>
      <c r="F76" s="60"/>
      <c r="G76" s="61" t="s">
        <v>1281</v>
      </c>
      <c r="H76" s="63" t="s">
        <v>1282</v>
      </c>
      <c r="I76" s="62">
        <v>46134.0</v>
      </c>
    </row>
    <row r="77" ht="15.75" customHeight="1">
      <c r="A77" s="29" t="str">
        <f t="shared" si="8"/>
        <v>04 - ABR - 26 / 17/04 - SEX</v>
      </c>
      <c r="B77" s="55" t="s">
        <v>1283</v>
      </c>
      <c r="C77" s="55" t="s">
        <v>602</v>
      </c>
      <c r="D77" s="56" t="s">
        <v>378</v>
      </c>
      <c r="E77" s="56" t="s">
        <v>378</v>
      </c>
      <c r="F77" s="56"/>
      <c r="G77" s="57" t="s">
        <v>1284</v>
      </c>
      <c r="H77" s="64" t="s">
        <v>1285</v>
      </c>
      <c r="I77" s="58">
        <v>46134.0</v>
      </c>
    </row>
    <row r="78" ht="15.75" customHeight="1">
      <c r="A78" s="29" t="str">
        <f t="shared" si="8"/>
        <v>04 - ABR - 26 / 17/04 - SEX</v>
      </c>
      <c r="B78" s="55" t="s">
        <v>1286</v>
      </c>
      <c r="C78" s="55" t="s">
        <v>602</v>
      </c>
      <c r="D78" s="56" t="s">
        <v>378</v>
      </c>
      <c r="E78" s="56" t="s">
        <v>378</v>
      </c>
      <c r="F78" s="56"/>
      <c r="G78" s="57" t="s">
        <v>1287</v>
      </c>
      <c r="H78" s="64" t="s">
        <v>1288</v>
      </c>
      <c r="I78" s="58">
        <v>46134.0</v>
      </c>
    </row>
    <row r="79" ht="15.75" customHeight="1">
      <c r="A79" s="29" t="str">
        <f t="shared" si="8"/>
        <v>04 - ABR - 26 / 17/04 - SEX</v>
      </c>
      <c r="B79" s="55" t="s">
        <v>1289</v>
      </c>
      <c r="C79" s="55" t="s">
        <v>602</v>
      </c>
      <c r="D79" s="56" t="s">
        <v>378</v>
      </c>
      <c r="E79" s="56" t="s">
        <v>378</v>
      </c>
      <c r="F79" s="56"/>
      <c r="G79" s="57" t="s">
        <v>1290</v>
      </c>
      <c r="H79" s="64" t="s">
        <v>1291</v>
      </c>
      <c r="I79" s="58">
        <v>46134.0</v>
      </c>
    </row>
    <row r="80" ht="15.75" customHeight="1">
      <c r="A80" s="29" t="str">
        <f t="shared" si="8"/>
        <v>04 - ABR - 26 / 17/04 - SEX</v>
      </c>
      <c r="B80" s="55" t="s">
        <v>1292</v>
      </c>
      <c r="C80" s="55" t="s">
        <v>86</v>
      </c>
      <c r="D80" s="56" t="s">
        <v>378</v>
      </c>
      <c r="E80" s="56" t="s">
        <v>378</v>
      </c>
      <c r="F80" s="56"/>
      <c r="G80" s="57" t="s">
        <v>1293</v>
      </c>
      <c r="H80" s="64" t="s">
        <v>1294</v>
      </c>
      <c r="I80" s="58">
        <v>46128.0</v>
      </c>
    </row>
    <row r="81" ht="15.75" customHeight="1">
      <c r="A81" s="29" t="str">
        <f t="shared" si="8"/>
        <v>04 - ABR - 26 / 17/04 - SEX</v>
      </c>
      <c r="B81" s="55" t="s">
        <v>1295</v>
      </c>
      <c r="C81" s="55" t="s">
        <v>86</v>
      </c>
      <c r="D81" s="56" t="s">
        <v>378</v>
      </c>
      <c r="E81" s="56" t="s">
        <v>378</v>
      </c>
      <c r="F81" s="56"/>
      <c r="G81" s="57" t="s">
        <v>1296</v>
      </c>
      <c r="H81" s="64" t="s">
        <v>1297</v>
      </c>
      <c r="I81" s="58">
        <v>46128.0</v>
      </c>
    </row>
    <row r="82" ht="15.75" customHeight="1">
      <c r="A82" s="29" t="str">
        <f t="shared" si="8"/>
        <v>04 - ABR - 26 / 17/04 - SEX</v>
      </c>
      <c r="B82" s="55" t="s">
        <v>1298</v>
      </c>
      <c r="C82" s="55" t="s">
        <v>86</v>
      </c>
      <c r="D82" s="56" t="s">
        <v>378</v>
      </c>
      <c r="E82" s="56" t="s">
        <v>378</v>
      </c>
      <c r="F82" s="56"/>
      <c r="G82" s="57" t="s">
        <v>1299</v>
      </c>
      <c r="H82" s="64" t="s">
        <v>1300</v>
      </c>
      <c r="I82" s="58">
        <v>46128.0</v>
      </c>
    </row>
    <row r="83" ht="15.75" customHeight="1">
      <c r="A83" s="29" t="str">
        <f t="shared" si="8"/>
        <v>04 - ABR - 26 / 17/04 - SEX</v>
      </c>
      <c r="B83" s="55" t="s">
        <v>1301</v>
      </c>
      <c r="C83" s="55" t="s">
        <v>86</v>
      </c>
      <c r="D83" s="56" t="s">
        <v>378</v>
      </c>
      <c r="E83" s="56" t="s">
        <v>378</v>
      </c>
      <c r="F83" s="56"/>
      <c r="G83" s="57" t="s">
        <v>1302</v>
      </c>
      <c r="H83" s="64" t="s">
        <v>1303</v>
      </c>
      <c r="I83" s="58">
        <v>46128.0</v>
      </c>
    </row>
    <row r="84" ht="15.75" customHeight="1">
      <c r="A84" s="29" t="str">
        <f t="shared" si="8"/>
        <v>04 - ABR - 26 / 17/04 - SEX</v>
      </c>
      <c r="B84" s="55" t="s">
        <v>1304</v>
      </c>
      <c r="C84" s="55" t="s">
        <v>86</v>
      </c>
      <c r="D84" s="56" t="s">
        <v>378</v>
      </c>
      <c r="E84" s="56" t="s">
        <v>378</v>
      </c>
      <c r="F84" s="56"/>
      <c r="G84" s="57" t="s">
        <v>1305</v>
      </c>
      <c r="H84" s="64" t="s">
        <v>1306</v>
      </c>
      <c r="I84" s="58">
        <v>46128.0</v>
      </c>
    </row>
    <row r="85" ht="15.75" customHeight="1">
      <c r="A85" s="29" t="str">
        <f t="shared" si="8"/>
        <v>04 - ABR - 26 / 17/04 - SEX</v>
      </c>
      <c r="B85" s="55" t="s">
        <v>1307</v>
      </c>
      <c r="C85" s="55" t="s">
        <v>86</v>
      </c>
      <c r="D85" s="56" t="s">
        <v>378</v>
      </c>
      <c r="E85" s="56" t="s">
        <v>378</v>
      </c>
      <c r="F85" s="56"/>
      <c r="G85" s="57" t="s">
        <v>1308</v>
      </c>
      <c r="H85" s="64" t="s">
        <v>1309</v>
      </c>
      <c r="I85" s="58">
        <v>46128.0</v>
      </c>
    </row>
    <row r="86" ht="15.75" customHeight="1">
      <c r="A86" s="37" t="str">
        <f t="shared" ref="A86:A95" si="9">HYPERLINK("https://drive.google.com/drive/folders/1sohAgC-JAb3YbVnJucHkUg5V-HpYHwLT", "04 - ABR - 26 / 16/04 - QUI")</f>
        <v>04 - ABR - 26 / 16/04 - QUI</v>
      </c>
      <c r="B86" s="59" t="s">
        <v>1310</v>
      </c>
      <c r="C86" s="59" t="s">
        <v>86</v>
      </c>
      <c r="D86" s="60" t="s">
        <v>378</v>
      </c>
      <c r="E86" s="60" t="s">
        <v>378</v>
      </c>
      <c r="F86" s="60"/>
      <c r="G86" s="61" t="s">
        <v>1311</v>
      </c>
      <c r="H86" s="63" t="s">
        <v>1312</v>
      </c>
      <c r="I86" s="62">
        <v>46128.0</v>
      </c>
    </row>
    <row r="87" ht="15.75" customHeight="1">
      <c r="A87" s="29" t="str">
        <f t="shared" si="9"/>
        <v>04 - ABR - 26 / 16/04 - QUI</v>
      </c>
      <c r="B87" s="55" t="s">
        <v>1313</v>
      </c>
      <c r="C87" s="55" t="s">
        <v>86</v>
      </c>
      <c r="D87" s="56" t="s">
        <v>378</v>
      </c>
      <c r="E87" s="56" t="s">
        <v>378</v>
      </c>
      <c r="F87" s="56"/>
      <c r="G87" s="57" t="s">
        <v>1314</v>
      </c>
      <c r="H87" s="64" t="s">
        <v>1315</v>
      </c>
      <c r="I87" s="58">
        <v>46127.0</v>
      </c>
    </row>
    <row r="88" ht="15.75" customHeight="1">
      <c r="A88" s="29" t="str">
        <f t="shared" si="9"/>
        <v>04 - ABR - 26 / 16/04 - QUI</v>
      </c>
      <c r="B88" s="55" t="s">
        <v>1316</v>
      </c>
      <c r="C88" s="55" t="s">
        <v>86</v>
      </c>
      <c r="D88" s="56" t="s">
        <v>378</v>
      </c>
      <c r="E88" s="56" t="s">
        <v>378</v>
      </c>
      <c r="F88" s="56"/>
      <c r="G88" s="57" t="s">
        <v>1317</v>
      </c>
      <c r="H88" s="64" t="s">
        <v>1318</v>
      </c>
      <c r="I88" s="58">
        <v>46127.0</v>
      </c>
    </row>
    <row r="89" ht="15.75" customHeight="1">
      <c r="A89" s="29" t="str">
        <f t="shared" si="9"/>
        <v>04 - ABR - 26 / 16/04 - QUI</v>
      </c>
      <c r="B89" s="55" t="s">
        <v>1319</v>
      </c>
      <c r="C89" s="55" t="s">
        <v>86</v>
      </c>
      <c r="D89" s="56" t="s">
        <v>378</v>
      </c>
      <c r="E89" s="56" t="s">
        <v>378</v>
      </c>
      <c r="F89" s="56"/>
      <c r="G89" s="57" t="s">
        <v>1320</v>
      </c>
      <c r="H89" s="64" t="s">
        <v>1321</v>
      </c>
      <c r="I89" s="58">
        <v>46127.0</v>
      </c>
    </row>
    <row r="90" ht="15.75" customHeight="1">
      <c r="A90" s="29" t="str">
        <f t="shared" si="9"/>
        <v>04 - ABR - 26 / 16/04 - QUI</v>
      </c>
      <c r="B90" s="55" t="s">
        <v>1322</v>
      </c>
      <c r="C90" s="55" t="s">
        <v>86</v>
      </c>
      <c r="D90" s="56" t="s">
        <v>378</v>
      </c>
      <c r="E90" s="56" t="s">
        <v>378</v>
      </c>
      <c r="F90" s="56"/>
      <c r="G90" s="57" t="s">
        <v>1323</v>
      </c>
      <c r="H90" s="64" t="s">
        <v>1324</v>
      </c>
      <c r="I90" s="58">
        <v>46127.0</v>
      </c>
    </row>
    <row r="91" ht="15.75" customHeight="1">
      <c r="A91" s="29" t="str">
        <f t="shared" si="9"/>
        <v>04 - ABR - 26 / 16/04 - QUI</v>
      </c>
      <c r="B91" s="55" t="s">
        <v>1325</v>
      </c>
      <c r="C91" s="55" t="s">
        <v>86</v>
      </c>
      <c r="D91" s="56" t="s">
        <v>378</v>
      </c>
      <c r="E91" s="56" t="s">
        <v>378</v>
      </c>
      <c r="F91" s="56"/>
      <c r="G91" s="57" t="s">
        <v>1326</v>
      </c>
      <c r="H91" s="64" t="s">
        <v>1327</v>
      </c>
      <c r="I91" s="58">
        <v>46127.0</v>
      </c>
    </row>
    <row r="92" ht="15.75" customHeight="1">
      <c r="A92" s="29" t="str">
        <f t="shared" si="9"/>
        <v>04 - ABR - 26 / 16/04 - QUI</v>
      </c>
      <c r="B92" s="55" t="s">
        <v>1328</v>
      </c>
      <c r="C92" s="55" t="s">
        <v>86</v>
      </c>
      <c r="D92" s="56" t="s">
        <v>378</v>
      </c>
      <c r="E92" s="56" t="s">
        <v>378</v>
      </c>
      <c r="F92" s="56"/>
      <c r="G92" s="57" t="s">
        <v>1329</v>
      </c>
      <c r="H92" s="64" t="s">
        <v>1330</v>
      </c>
      <c r="I92" s="58">
        <v>46127.0</v>
      </c>
    </row>
    <row r="93" ht="15.75" customHeight="1">
      <c r="A93" s="29" t="str">
        <f t="shared" si="9"/>
        <v>04 - ABR - 26 / 16/04 - QUI</v>
      </c>
      <c r="B93" s="55" t="s">
        <v>1331</v>
      </c>
      <c r="C93" s="55" t="s">
        <v>86</v>
      </c>
      <c r="D93" s="56" t="s">
        <v>378</v>
      </c>
      <c r="E93" s="56" t="s">
        <v>378</v>
      </c>
      <c r="F93" s="56"/>
      <c r="G93" s="57" t="s">
        <v>1332</v>
      </c>
      <c r="H93" s="64" t="s">
        <v>1333</v>
      </c>
      <c r="I93" s="58">
        <v>46127.0</v>
      </c>
    </row>
    <row r="94" ht="15.75" customHeight="1">
      <c r="A94" s="29" t="str">
        <f t="shared" si="9"/>
        <v>04 - ABR - 26 / 16/04 - QUI</v>
      </c>
      <c r="B94" s="55" t="s">
        <v>1334</v>
      </c>
      <c r="C94" s="55" t="s">
        <v>86</v>
      </c>
      <c r="D94" s="56" t="s">
        <v>378</v>
      </c>
      <c r="E94" s="56" t="s">
        <v>378</v>
      </c>
      <c r="F94" s="56"/>
      <c r="G94" s="57" t="s">
        <v>1335</v>
      </c>
      <c r="H94" s="64" t="s">
        <v>1336</v>
      </c>
      <c r="I94" s="58">
        <v>46127.0</v>
      </c>
    </row>
    <row r="95" ht="15.75" customHeight="1">
      <c r="A95" s="29" t="str">
        <f t="shared" si="9"/>
        <v>04 - ABR - 26 / 16/04 - QUI</v>
      </c>
      <c r="B95" s="55" t="s">
        <v>1337</v>
      </c>
      <c r="C95" s="55" t="s">
        <v>86</v>
      </c>
      <c r="D95" s="56" t="s">
        <v>378</v>
      </c>
      <c r="E95" s="56" t="s">
        <v>378</v>
      </c>
      <c r="F95" s="56"/>
      <c r="G95" s="57" t="s">
        <v>1338</v>
      </c>
      <c r="H95" s="64" t="s">
        <v>1339</v>
      </c>
      <c r="I95" s="58">
        <v>46127.0</v>
      </c>
    </row>
    <row r="96" ht="15.75" customHeight="1">
      <c r="A96" s="37" t="str">
        <f t="shared" ref="A96:A105" si="10">HYPERLINK("https://drive.google.com/drive/folders/14AZTZtfFs3XBVoWoRJeVr678m0rl7F61", "04 - ABR - 26 / 15/04 - QUA")</f>
        <v>04 - ABR - 26 / 15/04 - QUA</v>
      </c>
      <c r="B96" s="59" t="s">
        <v>1340</v>
      </c>
      <c r="C96" s="59" t="s">
        <v>86</v>
      </c>
      <c r="D96" s="60" t="s">
        <v>378</v>
      </c>
      <c r="E96" s="60" t="s">
        <v>378</v>
      </c>
      <c r="F96" s="60"/>
      <c r="G96" s="61" t="s">
        <v>1341</v>
      </c>
      <c r="H96" s="63" t="s">
        <v>1342</v>
      </c>
      <c r="I96" s="62">
        <v>46126.0</v>
      </c>
    </row>
    <row r="97" ht="15.75" customHeight="1">
      <c r="A97" s="29" t="str">
        <f t="shared" si="10"/>
        <v>04 - ABR - 26 / 15/04 - QUA</v>
      </c>
      <c r="B97" s="55" t="s">
        <v>1343</v>
      </c>
      <c r="C97" s="55" t="s">
        <v>86</v>
      </c>
      <c r="D97" s="56" t="s">
        <v>378</v>
      </c>
      <c r="E97" s="56" t="s">
        <v>378</v>
      </c>
      <c r="F97" s="56"/>
      <c r="G97" s="57" t="s">
        <v>1344</v>
      </c>
      <c r="H97" s="64" t="s">
        <v>1345</v>
      </c>
      <c r="I97" s="58">
        <v>46126.0</v>
      </c>
    </row>
    <row r="98" ht="15.75" customHeight="1">
      <c r="A98" s="29" t="str">
        <f t="shared" si="10"/>
        <v>04 - ABR - 26 / 15/04 - QUA</v>
      </c>
      <c r="B98" s="55" t="s">
        <v>1346</v>
      </c>
      <c r="C98" s="55" t="s">
        <v>86</v>
      </c>
      <c r="D98" s="56" t="s">
        <v>378</v>
      </c>
      <c r="E98" s="56" t="s">
        <v>378</v>
      </c>
      <c r="F98" s="56"/>
      <c r="G98" s="57" t="s">
        <v>1347</v>
      </c>
      <c r="H98" s="64" t="s">
        <v>1348</v>
      </c>
      <c r="I98" s="58">
        <v>46126.0</v>
      </c>
    </row>
    <row r="99" ht="15.75" customHeight="1">
      <c r="A99" s="29" t="str">
        <f t="shared" si="10"/>
        <v>04 - ABR - 26 / 15/04 - QUA</v>
      </c>
      <c r="B99" s="55" t="s">
        <v>1349</v>
      </c>
      <c r="C99" s="55" t="s">
        <v>86</v>
      </c>
      <c r="D99" s="56" t="s">
        <v>378</v>
      </c>
      <c r="E99" s="56" t="s">
        <v>378</v>
      </c>
      <c r="F99" s="56"/>
      <c r="G99" s="57" t="s">
        <v>1350</v>
      </c>
      <c r="H99" s="64" t="s">
        <v>1351</v>
      </c>
      <c r="I99" s="58">
        <v>46126.0</v>
      </c>
    </row>
    <row r="100" ht="15.75" customHeight="1">
      <c r="A100" s="29" t="str">
        <f t="shared" si="10"/>
        <v>04 - ABR - 26 / 15/04 - QUA</v>
      </c>
      <c r="B100" s="55" t="s">
        <v>1352</v>
      </c>
      <c r="C100" s="55" t="s">
        <v>86</v>
      </c>
      <c r="D100" s="56" t="s">
        <v>378</v>
      </c>
      <c r="E100" s="56" t="s">
        <v>378</v>
      </c>
      <c r="F100" s="56"/>
      <c r="G100" s="57" t="s">
        <v>1353</v>
      </c>
      <c r="H100" s="64" t="s">
        <v>1354</v>
      </c>
      <c r="I100" s="58">
        <v>46126.0</v>
      </c>
    </row>
    <row r="101" ht="15.75" customHeight="1">
      <c r="A101" s="29" t="str">
        <f t="shared" si="10"/>
        <v>04 - ABR - 26 / 15/04 - QUA</v>
      </c>
      <c r="B101" s="55" t="s">
        <v>1355</v>
      </c>
      <c r="C101" s="55" t="s">
        <v>86</v>
      </c>
      <c r="D101" s="56" t="s">
        <v>378</v>
      </c>
      <c r="E101" s="56" t="s">
        <v>378</v>
      </c>
      <c r="F101" s="56"/>
      <c r="G101" s="57" t="s">
        <v>1356</v>
      </c>
      <c r="H101" s="64" t="s">
        <v>1357</v>
      </c>
      <c r="I101" s="58">
        <v>46126.0</v>
      </c>
    </row>
    <row r="102" ht="15.75" customHeight="1">
      <c r="A102" s="29" t="str">
        <f t="shared" si="10"/>
        <v>04 - ABR - 26 / 15/04 - QUA</v>
      </c>
      <c r="B102" s="55" t="s">
        <v>1358</v>
      </c>
      <c r="C102" s="55" t="s">
        <v>86</v>
      </c>
      <c r="D102" s="56" t="s">
        <v>378</v>
      </c>
      <c r="E102" s="56" t="s">
        <v>378</v>
      </c>
      <c r="F102" s="56"/>
      <c r="G102" s="57" t="s">
        <v>1359</v>
      </c>
      <c r="H102" s="64" t="s">
        <v>1360</v>
      </c>
      <c r="I102" s="58">
        <v>46126.0</v>
      </c>
    </row>
    <row r="103" ht="15.75" customHeight="1">
      <c r="A103" s="29" t="str">
        <f t="shared" si="10"/>
        <v>04 - ABR - 26 / 15/04 - QUA</v>
      </c>
      <c r="B103" s="55" t="s">
        <v>1361</v>
      </c>
      <c r="C103" s="55" t="s">
        <v>86</v>
      </c>
      <c r="D103" s="56" t="s">
        <v>378</v>
      </c>
      <c r="E103" s="56" t="s">
        <v>378</v>
      </c>
      <c r="F103" s="56"/>
      <c r="G103" s="57" t="s">
        <v>1362</v>
      </c>
      <c r="H103" s="64" t="s">
        <v>1363</v>
      </c>
      <c r="I103" s="58">
        <v>46126.0</v>
      </c>
    </row>
    <row r="104" ht="15.75" customHeight="1">
      <c r="A104" s="29" t="str">
        <f t="shared" si="10"/>
        <v>04 - ABR - 26 / 15/04 - QUA</v>
      </c>
      <c r="B104" s="55" t="s">
        <v>1364</v>
      </c>
      <c r="C104" s="55" t="s">
        <v>86</v>
      </c>
      <c r="D104" s="56" t="s">
        <v>378</v>
      </c>
      <c r="E104" s="56" t="s">
        <v>378</v>
      </c>
      <c r="F104" s="56"/>
      <c r="G104" s="57" t="s">
        <v>1365</v>
      </c>
      <c r="H104" s="64" t="s">
        <v>1366</v>
      </c>
      <c r="I104" s="58">
        <v>46126.0</v>
      </c>
    </row>
    <row r="105" ht="15.75" customHeight="1">
      <c r="A105" s="29" t="str">
        <f t="shared" si="10"/>
        <v>04 - ABR - 26 / 15/04 - QUA</v>
      </c>
      <c r="B105" s="55" t="s">
        <v>1367</v>
      </c>
      <c r="C105" s="55" t="s">
        <v>86</v>
      </c>
      <c r="D105" s="56" t="s">
        <v>378</v>
      </c>
      <c r="E105" s="56" t="s">
        <v>378</v>
      </c>
      <c r="F105" s="56"/>
      <c r="G105" s="57" t="s">
        <v>1368</v>
      </c>
      <c r="H105" s="64" t="s">
        <v>1369</v>
      </c>
      <c r="I105" s="58">
        <v>46126.0</v>
      </c>
    </row>
    <row r="106" ht="15.75" customHeight="1">
      <c r="A106" s="37" t="str">
        <f t="shared" ref="A106:A115" si="11">HYPERLINK("https://drive.google.com/drive/folders/1jXuJA1_4bJc4duLBU-sDaz4Ha8cyaAcz", "04 - ABR - 26 / 14/04 - TER")</f>
        <v>04 - ABR - 26 / 14/04 - TER</v>
      </c>
      <c r="B106" s="59" t="s">
        <v>1370</v>
      </c>
      <c r="C106" s="59" t="s">
        <v>602</v>
      </c>
      <c r="D106" s="60" t="s">
        <v>378</v>
      </c>
      <c r="E106" s="60" t="s">
        <v>378</v>
      </c>
      <c r="F106" s="60"/>
      <c r="G106" s="61" t="s">
        <v>1371</v>
      </c>
      <c r="H106" s="63" t="s">
        <v>1372</v>
      </c>
      <c r="I106" s="62">
        <v>46126.0</v>
      </c>
    </row>
    <row r="107" ht="15.75" customHeight="1">
      <c r="A107" s="29" t="str">
        <f t="shared" si="11"/>
        <v>04 - ABR - 26 / 14/04 - TER</v>
      </c>
      <c r="B107" s="55" t="s">
        <v>1373</v>
      </c>
      <c r="C107" s="55" t="s">
        <v>602</v>
      </c>
      <c r="D107" s="56" t="s">
        <v>378</v>
      </c>
      <c r="E107" s="56" t="s">
        <v>378</v>
      </c>
      <c r="F107" s="56"/>
      <c r="G107" s="57" t="s">
        <v>1374</v>
      </c>
      <c r="H107" s="64" t="s">
        <v>1375</v>
      </c>
      <c r="I107" s="58">
        <v>46126.0</v>
      </c>
    </row>
    <row r="108" ht="15.75" customHeight="1">
      <c r="A108" s="29" t="str">
        <f t="shared" si="11"/>
        <v>04 - ABR - 26 / 14/04 - TER</v>
      </c>
      <c r="B108" s="55" t="s">
        <v>1376</v>
      </c>
      <c r="C108" s="55" t="s">
        <v>602</v>
      </c>
      <c r="D108" s="56" t="s">
        <v>378</v>
      </c>
      <c r="E108" s="56" t="s">
        <v>378</v>
      </c>
      <c r="F108" s="56"/>
      <c r="G108" s="57" t="s">
        <v>1377</v>
      </c>
      <c r="H108" s="64" t="s">
        <v>1378</v>
      </c>
      <c r="I108" s="58">
        <v>46126.0</v>
      </c>
    </row>
    <row r="109" ht="15.75" customHeight="1">
      <c r="A109" s="29" t="str">
        <f t="shared" si="11"/>
        <v>04 - ABR - 26 / 14/04 - TER</v>
      </c>
      <c r="B109" s="55" t="s">
        <v>1379</v>
      </c>
      <c r="C109" s="55" t="s">
        <v>602</v>
      </c>
      <c r="D109" s="56" t="s">
        <v>378</v>
      </c>
      <c r="E109" s="56" t="s">
        <v>378</v>
      </c>
      <c r="F109" s="56"/>
      <c r="G109" s="57" t="s">
        <v>1380</v>
      </c>
      <c r="H109" s="64" t="s">
        <v>1381</v>
      </c>
      <c r="I109" s="58">
        <v>46126.0</v>
      </c>
    </row>
    <row r="110" ht="15.75" customHeight="1">
      <c r="A110" s="29" t="str">
        <f t="shared" si="11"/>
        <v>04 - ABR - 26 / 14/04 - TER</v>
      </c>
      <c r="B110" s="55" t="s">
        <v>1382</v>
      </c>
      <c r="C110" s="55" t="s">
        <v>602</v>
      </c>
      <c r="D110" s="56" t="s">
        <v>378</v>
      </c>
      <c r="E110" s="56" t="s">
        <v>378</v>
      </c>
      <c r="F110" s="56"/>
      <c r="G110" s="57" t="s">
        <v>1383</v>
      </c>
      <c r="H110" s="64" t="s">
        <v>1384</v>
      </c>
      <c r="I110" s="58">
        <v>46126.0</v>
      </c>
    </row>
    <row r="111" ht="15.75" customHeight="1">
      <c r="A111" s="29" t="str">
        <f t="shared" si="11"/>
        <v>04 - ABR - 26 / 14/04 - TER</v>
      </c>
      <c r="B111" s="55" t="s">
        <v>1385</v>
      </c>
      <c r="C111" s="55" t="s">
        <v>602</v>
      </c>
      <c r="D111" s="56" t="s">
        <v>378</v>
      </c>
      <c r="E111" s="56" t="s">
        <v>378</v>
      </c>
      <c r="F111" s="56"/>
      <c r="G111" s="57" t="s">
        <v>1386</v>
      </c>
      <c r="H111" s="64" t="s">
        <v>1387</v>
      </c>
      <c r="I111" s="58">
        <v>46126.0</v>
      </c>
    </row>
    <row r="112" ht="15.75" customHeight="1">
      <c r="A112" s="29" t="str">
        <f t="shared" si="11"/>
        <v>04 - ABR - 26 / 14/04 - TER</v>
      </c>
      <c r="B112" s="55" t="s">
        <v>1388</v>
      </c>
      <c r="C112" s="55" t="s">
        <v>602</v>
      </c>
      <c r="D112" s="56" t="s">
        <v>378</v>
      </c>
      <c r="E112" s="56" t="s">
        <v>378</v>
      </c>
      <c r="F112" s="56"/>
      <c r="G112" s="57" t="s">
        <v>1389</v>
      </c>
      <c r="H112" s="64" t="s">
        <v>1390</v>
      </c>
      <c r="I112" s="58">
        <v>46126.0</v>
      </c>
    </row>
    <row r="113" ht="15.75" customHeight="1">
      <c r="A113" s="29" t="str">
        <f t="shared" si="11"/>
        <v>04 - ABR - 26 / 14/04 - TER</v>
      </c>
      <c r="B113" s="55" t="s">
        <v>1391</v>
      </c>
      <c r="C113" s="55" t="s">
        <v>602</v>
      </c>
      <c r="D113" s="56" t="s">
        <v>378</v>
      </c>
      <c r="E113" s="56" t="s">
        <v>378</v>
      </c>
      <c r="F113" s="56"/>
      <c r="G113" s="57" t="s">
        <v>1392</v>
      </c>
      <c r="H113" s="64" t="s">
        <v>1393</v>
      </c>
      <c r="I113" s="58">
        <v>46126.0</v>
      </c>
    </row>
    <row r="114" ht="15.75" customHeight="1">
      <c r="A114" s="29" t="str">
        <f t="shared" si="11"/>
        <v>04 - ABR - 26 / 14/04 - TER</v>
      </c>
      <c r="B114" s="55" t="s">
        <v>1394</v>
      </c>
      <c r="C114" s="55" t="s">
        <v>602</v>
      </c>
      <c r="D114" s="56" t="s">
        <v>378</v>
      </c>
      <c r="E114" s="56" t="s">
        <v>378</v>
      </c>
      <c r="F114" s="56"/>
      <c r="G114" s="57" t="s">
        <v>1395</v>
      </c>
      <c r="H114" s="64" t="s">
        <v>1396</v>
      </c>
      <c r="I114" s="58">
        <v>46126.0</v>
      </c>
    </row>
    <row r="115" ht="15.75" customHeight="1">
      <c r="A115" s="29" t="str">
        <f t="shared" si="11"/>
        <v>04 - ABR - 26 / 14/04 - TER</v>
      </c>
      <c r="B115" s="55" t="s">
        <v>1397</v>
      </c>
      <c r="C115" s="55" t="s">
        <v>602</v>
      </c>
      <c r="D115" s="56" t="s">
        <v>378</v>
      </c>
      <c r="E115" s="56" t="s">
        <v>378</v>
      </c>
      <c r="F115" s="56"/>
      <c r="G115" s="57" t="s">
        <v>1398</v>
      </c>
      <c r="H115" s="64" t="s">
        <v>1399</v>
      </c>
      <c r="I115" s="58">
        <v>46126.0</v>
      </c>
    </row>
    <row r="116" ht="15.75" customHeight="1">
      <c r="A116" s="37" t="str">
        <f t="shared" ref="A116:A125" si="12">HYPERLINK("https://drive.google.com/drive/folders/14cWMmmm6HSEGdnjyJ9O5ZkJOfu0HBkZs", "04 - ABR - 26 / 13/04 - SEG")</f>
        <v>04 - ABR - 26 / 13/04 - SEG</v>
      </c>
      <c r="B116" s="59" t="s">
        <v>1400</v>
      </c>
      <c r="C116" s="59" t="s">
        <v>602</v>
      </c>
      <c r="D116" s="60" t="s">
        <v>378</v>
      </c>
      <c r="E116" s="60" t="s">
        <v>378</v>
      </c>
      <c r="F116" s="60"/>
      <c r="G116" s="61" t="s">
        <v>1401</v>
      </c>
      <c r="H116" s="63" t="s">
        <v>1402</v>
      </c>
      <c r="I116" s="62">
        <v>46126.0</v>
      </c>
    </row>
    <row r="117" ht="15.75" customHeight="1">
      <c r="A117" s="29" t="str">
        <f t="shared" si="12"/>
        <v>04 - ABR - 26 / 13/04 - SEG</v>
      </c>
      <c r="B117" s="55" t="s">
        <v>1403</v>
      </c>
      <c r="C117" s="55" t="s">
        <v>602</v>
      </c>
      <c r="D117" s="56" t="s">
        <v>378</v>
      </c>
      <c r="E117" s="56" t="s">
        <v>378</v>
      </c>
      <c r="F117" s="56"/>
      <c r="G117" s="57" t="s">
        <v>1404</v>
      </c>
      <c r="H117" s="64" t="s">
        <v>1405</v>
      </c>
      <c r="I117" s="58">
        <v>46126.0</v>
      </c>
    </row>
    <row r="118" ht="15.75" customHeight="1">
      <c r="A118" s="29" t="str">
        <f t="shared" si="12"/>
        <v>04 - ABR - 26 / 13/04 - SEG</v>
      </c>
      <c r="B118" s="55" t="s">
        <v>1406</v>
      </c>
      <c r="C118" s="55" t="s">
        <v>602</v>
      </c>
      <c r="D118" s="56" t="s">
        <v>378</v>
      </c>
      <c r="E118" s="56" t="s">
        <v>378</v>
      </c>
      <c r="F118" s="56"/>
      <c r="G118" s="57" t="s">
        <v>1407</v>
      </c>
      <c r="H118" s="64" t="s">
        <v>1408</v>
      </c>
      <c r="I118" s="58">
        <v>46126.0</v>
      </c>
    </row>
    <row r="119" ht="15.75" customHeight="1">
      <c r="A119" s="29" t="str">
        <f t="shared" si="12"/>
        <v>04 - ABR - 26 / 13/04 - SEG</v>
      </c>
      <c r="B119" s="55" t="s">
        <v>1409</v>
      </c>
      <c r="C119" s="55" t="s">
        <v>602</v>
      </c>
      <c r="D119" s="56" t="s">
        <v>378</v>
      </c>
      <c r="E119" s="56" t="s">
        <v>378</v>
      </c>
      <c r="F119" s="56"/>
      <c r="G119" s="57" t="s">
        <v>1410</v>
      </c>
      <c r="H119" s="64" t="s">
        <v>1411</v>
      </c>
      <c r="I119" s="58">
        <v>46126.0</v>
      </c>
    </row>
    <row r="120" ht="15.75" customHeight="1">
      <c r="A120" s="29" t="str">
        <f t="shared" si="12"/>
        <v>04 - ABR - 26 / 13/04 - SEG</v>
      </c>
      <c r="B120" s="55" t="s">
        <v>1412</v>
      </c>
      <c r="C120" s="55" t="s">
        <v>86</v>
      </c>
      <c r="D120" s="56" t="s">
        <v>378</v>
      </c>
      <c r="E120" s="56" t="s">
        <v>378</v>
      </c>
      <c r="F120" s="56"/>
      <c r="G120" s="57" t="s">
        <v>1413</v>
      </c>
      <c r="H120" s="64" t="s">
        <v>1414</v>
      </c>
      <c r="I120" s="58">
        <v>46121.0</v>
      </c>
    </row>
    <row r="121" ht="15.75" customHeight="1">
      <c r="A121" s="29" t="str">
        <f t="shared" si="12"/>
        <v>04 - ABR - 26 / 13/04 - SEG</v>
      </c>
      <c r="B121" s="55" t="s">
        <v>1415</v>
      </c>
      <c r="C121" s="55" t="s">
        <v>86</v>
      </c>
      <c r="D121" s="56" t="s">
        <v>378</v>
      </c>
      <c r="E121" s="56" t="s">
        <v>378</v>
      </c>
      <c r="F121" s="56"/>
      <c r="G121" s="57" t="s">
        <v>1416</v>
      </c>
      <c r="H121" s="64" t="s">
        <v>1417</v>
      </c>
      <c r="I121" s="58">
        <v>46121.0</v>
      </c>
    </row>
    <row r="122" ht="15.75" customHeight="1">
      <c r="A122" s="29" t="str">
        <f t="shared" si="12"/>
        <v>04 - ABR - 26 / 13/04 - SEG</v>
      </c>
      <c r="B122" s="55" t="s">
        <v>1418</v>
      </c>
      <c r="C122" s="55" t="s">
        <v>86</v>
      </c>
      <c r="D122" s="56" t="s">
        <v>378</v>
      </c>
      <c r="E122" s="56" t="s">
        <v>378</v>
      </c>
      <c r="F122" s="56"/>
      <c r="G122" s="57" t="s">
        <v>1419</v>
      </c>
      <c r="H122" s="64" t="s">
        <v>1420</v>
      </c>
      <c r="I122" s="58">
        <v>46121.0</v>
      </c>
    </row>
    <row r="123" ht="15.75" customHeight="1">
      <c r="A123" s="29" t="str">
        <f t="shared" si="12"/>
        <v>04 - ABR - 26 / 13/04 - SEG</v>
      </c>
      <c r="B123" s="55" t="s">
        <v>1421</v>
      </c>
      <c r="C123" s="55" t="s">
        <v>86</v>
      </c>
      <c r="D123" s="56" t="s">
        <v>378</v>
      </c>
      <c r="E123" s="56" t="s">
        <v>378</v>
      </c>
      <c r="F123" s="56"/>
      <c r="G123" s="57" t="s">
        <v>1422</v>
      </c>
      <c r="H123" s="64" t="s">
        <v>1423</v>
      </c>
      <c r="I123" s="58">
        <v>46121.0</v>
      </c>
    </row>
    <row r="124" ht="15.75" customHeight="1">
      <c r="A124" s="29" t="str">
        <f t="shared" si="12"/>
        <v>04 - ABR - 26 / 13/04 - SEG</v>
      </c>
      <c r="B124" s="55" t="s">
        <v>1424</v>
      </c>
      <c r="C124" s="55" t="s">
        <v>86</v>
      </c>
      <c r="D124" s="56" t="s">
        <v>378</v>
      </c>
      <c r="E124" s="56" t="s">
        <v>378</v>
      </c>
      <c r="F124" s="56"/>
      <c r="G124" s="57" t="s">
        <v>1425</v>
      </c>
      <c r="H124" s="64" t="s">
        <v>1426</v>
      </c>
      <c r="I124" s="58">
        <v>46121.0</v>
      </c>
    </row>
    <row r="125" ht="15.75" customHeight="1">
      <c r="A125" s="29" t="str">
        <f t="shared" si="12"/>
        <v>04 - ABR - 26 / 13/04 - SEG</v>
      </c>
      <c r="B125" s="55" t="s">
        <v>1427</v>
      </c>
      <c r="C125" s="55" t="s">
        <v>86</v>
      </c>
      <c r="D125" s="56" t="s">
        <v>378</v>
      </c>
      <c r="E125" s="56" t="s">
        <v>378</v>
      </c>
      <c r="F125" s="56"/>
      <c r="G125" s="57" t="s">
        <v>1428</v>
      </c>
      <c r="H125" s="64" t="s">
        <v>1429</v>
      </c>
      <c r="I125" s="58">
        <v>46121.0</v>
      </c>
    </row>
    <row r="126" ht="15.75" customHeight="1">
      <c r="A126" s="37" t="str">
        <f t="shared" ref="A126:A135" si="13">HYPERLINK("https://drive.google.com/drive/folders/1D7_GUVzfEykQ6FlAaA7r3INFDJcURRYF", "04 - ABR - 26 / 10/04- SEX")</f>
        <v>04 - ABR - 26 / 10/04- SEX</v>
      </c>
      <c r="B126" s="59" t="s">
        <v>1430</v>
      </c>
      <c r="C126" s="59" t="s">
        <v>86</v>
      </c>
      <c r="D126" s="60" t="s">
        <v>378</v>
      </c>
      <c r="E126" s="60" t="s">
        <v>378</v>
      </c>
      <c r="F126" s="60"/>
      <c r="G126" s="61" t="s">
        <v>1431</v>
      </c>
      <c r="H126" s="63" t="s">
        <v>1432</v>
      </c>
      <c r="I126" s="62">
        <v>46121.0</v>
      </c>
    </row>
    <row r="127" ht="15.75" customHeight="1">
      <c r="A127" s="29" t="str">
        <f t="shared" si="13"/>
        <v>04 - ABR - 26 / 10/04- SEX</v>
      </c>
      <c r="B127" s="55" t="s">
        <v>1433</v>
      </c>
      <c r="C127" s="55" t="s">
        <v>86</v>
      </c>
      <c r="D127" s="56" t="s">
        <v>378</v>
      </c>
      <c r="E127" s="56" t="s">
        <v>378</v>
      </c>
      <c r="F127" s="56"/>
      <c r="G127" s="57" t="s">
        <v>1434</v>
      </c>
      <c r="H127" s="64" t="s">
        <v>1435</v>
      </c>
      <c r="I127" s="58">
        <v>46121.0</v>
      </c>
    </row>
    <row r="128" ht="15.75" customHeight="1">
      <c r="A128" s="29" t="str">
        <f t="shared" si="13"/>
        <v>04 - ABR - 26 / 10/04- SEX</v>
      </c>
      <c r="B128" s="55" t="s">
        <v>1436</v>
      </c>
      <c r="C128" s="55" t="s">
        <v>86</v>
      </c>
      <c r="D128" s="56" t="s">
        <v>378</v>
      </c>
      <c r="E128" s="56" t="s">
        <v>378</v>
      </c>
      <c r="F128" s="56"/>
      <c r="G128" s="57" t="s">
        <v>1437</v>
      </c>
      <c r="H128" s="64" t="s">
        <v>1438</v>
      </c>
      <c r="I128" s="58">
        <v>46121.0</v>
      </c>
    </row>
    <row r="129" ht="15.75" customHeight="1">
      <c r="A129" s="29" t="str">
        <f t="shared" si="13"/>
        <v>04 - ABR - 26 / 10/04- SEX</v>
      </c>
      <c r="B129" s="55" t="s">
        <v>1439</v>
      </c>
      <c r="C129" s="55" t="s">
        <v>86</v>
      </c>
      <c r="D129" s="56" t="s">
        <v>378</v>
      </c>
      <c r="E129" s="56" t="s">
        <v>378</v>
      </c>
      <c r="F129" s="56"/>
      <c r="G129" s="57" t="s">
        <v>1440</v>
      </c>
      <c r="H129" s="64" t="s">
        <v>1441</v>
      </c>
      <c r="I129" s="58">
        <v>46121.0</v>
      </c>
    </row>
    <row r="130" ht="15.75" customHeight="1">
      <c r="A130" s="29" t="str">
        <f t="shared" si="13"/>
        <v>04 - ABR - 26 / 10/04- SEX</v>
      </c>
      <c r="B130" s="55" t="s">
        <v>1442</v>
      </c>
      <c r="C130" s="55" t="s">
        <v>86</v>
      </c>
      <c r="D130" s="56" t="s">
        <v>378</v>
      </c>
      <c r="E130" s="56" t="s">
        <v>378</v>
      </c>
      <c r="F130" s="56"/>
      <c r="G130" s="57" t="s">
        <v>1443</v>
      </c>
      <c r="H130" s="64" t="s">
        <v>1444</v>
      </c>
      <c r="I130" s="58">
        <v>46121.0</v>
      </c>
    </row>
    <row r="131" ht="15.75" customHeight="1">
      <c r="A131" s="29" t="str">
        <f t="shared" si="13"/>
        <v>04 - ABR - 26 / 10/04- SEX</v>
      </c>
      <c r="B131" s="55" t="s">
        <v>1445</v>
      </c>
      <c r="C131" s="55" t="s">
        <v>86</v>
      </c>
      <c r="D131" s="56" t="s">
        <v>378</v>
      </c>
      <c r="E131" s="56" t="s">
        <v>378</v>
      </c>
      <c r="F131" s="56"/>
      <c r="G131" s="57" t="s">
        <v>1446</v>
      </c>
      <c r="H131" s="64" t="s">
        <v>1447</v>
      </c>
      <c r="I131" s="58">
        <v>46121.0</v>
      </c>
    </row>
    <row r="132" ht="15.75" customHeight="1">
      <c r="A132" s="29" t="str">
        <f t="shared" si="13"/>
        <v>04 - ABR - 26 / 10/04- SEX</v>
      </c>
      <c r="B132" s="55" t="s">
        <v>1448</v>
      </c>
      <c r="C132" s="55" t="s">
        <v>86</v>
      </c>
      <c r="D132" s="56" t="s">
        <v>378</v>
      </c>
      <c r="E132" s="56" t="s">
        <v>378</v>
      </c>
      <c r="F132" s="56"/>
      <c r="G132" s="57" t="s">
        <v>1449</v>
      </c>
      <c r="H132" s="64" t="s">
        <v>1450</v>
      </c>
      <c r="I132" s="58">
        <v>46121.0</v>
      </c>
    </row>
    <row r="133" ht="15.75" customHeight="1">
      <c r="A133" s="29" t="str">
        <f t="shared" si="13"/>
        <v>04 - ABR - 26 / 10/04- SEX</v>
      </c>
      <c r="B133" s="55" t="s">
        <v>1451</v>
      </c>
      <c r="C133" s="55" t="s">
        <v>86</v>
      </c>
      <c r="D133" s="56" t="s">
        <v>378</v>
      </c>
      <c r="E133" s="56" t="s">
        <v>378</v>
      </c>
      <c r="F133" s="56"/>
      <c r="G133" s="57" t="s">
        <v>1452</v>
      </c>
      <c r="H133" s="64" t="s">
        <v>1453</v>
      </c>
      <c r="I133" s="58">
        <v>46121.0</v>
      </c>
    </row>
    <row r="134" ht="15.75" customHeight="1">
      <c r="A134" s="29" t="str">
        <f t="shared" si="13"/>
        <v>04 - ABR - 26 / 10/04- SEX</v>
      </c>
      <c r="B134" s="55" t="s">
        <v>1454</v>
      </c>
      <c r="C134" s="55" t="s">
        <v>86</v>
      </c>
      <c r="D134" s="56" t="s">
        <v>378</v>
      </c>
      <c r="E134" s="56" t="s">
        <v>378</v>
      </c>
      <c r="F134" s="56"/>
      <c r="G134" s="57" t="s">
        <v>1455</v>
      </c>
      <c r="H134" s="64" t="s">
        <v>1456</v>
      </c>
      <c r="I134" s="58">
        <v>46121.0</v>
      </c>
    </row>
    <row r="135" ht="15.75" customHeight="1">
      <c r="A135" s="29" t="str">
        <f t="shared" si="13"/>
        <v>04 - ABR - 26 / 10/04- SEX</v>
      </c>
      <c r="B135" s="55" t="s">
        <v>1457</v>
      </c>
      <c r="C135" s="55" t="s">
        <v>86</v>
      </c>
      <c r="D135" s="56" t="s">
        <v>378</v>
      </c>
      <c r="E135" s="56" t="s">
        <v>378</v>
      </c>
      <c r="F135" s="56"/>
      <c r="G135" s="57" t="s">
        <v>1458</v>
      </c>
      <c r="H135" s="64" t="s">
        <v>1459</v>
      </c>
      <c r="I135" s="58">
        <v>46121.0</v>
      </c>
    </row>
    <row r="136" ht="15.75" customHeight="1">
      <c r="A136" s="37" t="str">
        <f t="shared" ref="A136:A145" si="14">HYPERLINK("https://drive.google.com/drive/folders/1vfdB8JUm3CZE-TSmELnDLBVOqohVhxYF", "04 - ABR - 26 / 09/04 - QUI")</f>
        <v>04 - ABR - 26 / 09/04 - QUI</v>
      </c>
      <c r="B136" s="59" t="s">
        <v>1460</v>
      </c>
      <c r="C136" s="59" t="s">
        <v>86</v>
      </c>
      <c r="D136" s="60" t="s">
        <v>378</v>
      </c>
      <c r="E136" s="60" t="s">
        <v>378</v>
      </c>
      <c r="F136" s="60"/>
      <c r="G136" s="61" t="s">
        <v>1461</v>
      </c>
      <c r="H136" s="63" t="s">
        <v>1462</v>
      </c>
      <c r="I136" s="62">
        <v>46119.0</v>
      </c>
    </row>
    <row r="137" ht="15.75" customHeight="1">
      <c r="A137" s="29" t="str">
        <f t="shared" si="14"/>
        <v>04 - ABR - 26 / 09/04 - QUI</v>
      </c>
      <c r="B137" s="55" t="s">
        <v>1463</v>
      </c>
      <c r="C137" s="55" t="s">
        <v>86</v>
      </c>
      <c r="D137" s="56" t="s">
        <v>378</v>
      </c>
      <c r="E137" s="56" t="s">
        <v>378</v>
      </c>
      <c r="F137" s="56"/>
      <c r="G137" s="57" t="s">
        <v>1464</v>
      </c>
      <c r="H137" s="64" t="s">
        <v>1465</v>
      </c>
      <c r="I137" s="58">
        <v>46119.0</v>
      </c>
    </row>
    <row r="138" ht="15.75" customHeight="1">
      <c r="A138" s="29" t="str">
        <f t="shared" si="14"/>
        <v>04 - ABR - 26 / 09/04 - QUI</v>
      </c>
      <c r="B138" s="55" t="s">
        <v>1466</v>
      </c>
      <c r="C138" s="55" t="s">
        <v>86</v>
      </c>
      <c r="D138" s="56" t="s">
        <v>378</v>
      </c>
      <c r="E138" s="56" t="s">
        <v>378</v>
      </c>
      <c r="F138" s="56"/>
      <c r="G138" s="57" t="s">
        <v>1467</v>
      </c>
      <c r="H138" s="64" t="s">
        <v>1468</v>
      </c>
      <c r="I138" s="58">
        <v>46119.0</v>
      </c>
    </row>
    <row r="139" ht="15.75" customHeight="1">
      <c r="A139" s="29" t="str">
        <f t="shared" si="14"/>
        <v>04 - ABR - 26 / 09/04 - QUI</v>
      </c>
      <c r="B139" s="55" t="s">
        <v>1469</v>
      </c>
      <c r="C139" s="55" t="s">
        <v>86</v>
      </c>
      <c r="D139" s="56" t="s">
        <v>378</v>
      </c>
      <c r="E139" s="56" t="s">
        <v>378</v>
      </c>
      <c r="F139" s="56"/>
      <c r="G139" s="57" t="s">
        <v>1470</v>
      </c>
      <c r="H139" s="64" t="s">
        <v>1471</v>
      </c>
      <c r="I139" s="58">
        <v>46119.0</v>
      </c>
    </row>
    <row r="140" ht="15.75" customHeight="1">
      <c r="A140" s="29" t="str">
        <f t="shared" si="14"/>
        <v>04 - ABR - 26 / 09/04 - QUI</v>
      </c>
      <c r="B140" s="55" t="s">
        <v>1472</v>
      </c>
      <c r="C140" s="55" t="s">
        <v>86</v>
      </c>
      <c r="D140" s="56" t="s">
        <v>378</v>
      </c>
      <c r="E140" s="56" t="s">
        <v>378</v>
      </c>
      <c r="F140" s="56"/>
      <c r="G140" s="57" t="s">
        <v>1473</v>
      </c>
      <c r="H140" s="64" t="s">
        <v>1474</v>
      </c>
      <c r="I140" s="58">
        <v>46119.0</v>
      </c>
    </row>
    <row r="141" ht="15.75" customHeight="1">
      <c r="A141" s="29" t="str">
        <f t="shared" si="14"/>
        <v>04 - ABR - 26 / 09/04 - QUI</v>
      </c>
      <c r="B141" s="55" t="s">
        <v>1475</v>
      </c>
      <c r="C141" s="55" t="s">
        <v>86</v>
      </c>
      <c r="D141" s="56" t="s">
        <v>378</v>
      </c>
      <c r="E141" s="56" t="s">
        <v>378</v>
      </c>
      <c r="F141" s="56"/>
      <c r="G141" s="57" t="s">
        <v>1476</v>
      </c>
      <c r="H141" s="64" t="s">
        <v>1477</v>
      </c>
      <c r="I141" s="58">
        <v>46119.0</v>
      </c>
    </row>
    <row r="142" ht="15.75" customHeight="1">
      <c r="A142" s="29" t="str">
        <f t="shared" si="14"/>
        <v>04 - ABR - 26 / 09/04 - QUI</v>
      </c>
      <c r="B142" s="55" t="s">
        <v>1478</v>
      </c>
      <c r="C142" s="55" t="s">
        <v>86</v>
      </c>
      <c r="D142" s="56" t="s">
        <v>378</v>
      </c>
      <c r="E142" s="56" t="s">
        <v>378</v>
      </c>
      <c r="F142" s="56"/>
      <c r="G142" s="57" t="s">
        <v>1479</v>
      </c>
      <c r="H142" s="64" t="s">
        <v>1480</v>
      </c>
      <c r="I142" s="58">
        <v>46119.0</v>
      </c>
    </row>
    <row r="143" ht="15.75" customHeight="1">
      <c r="A143" s="29" t="str">
        <f t="shared" si="14"/>
        <v>04 - ABR - 26 / 09/04 - QUI</v>
      </c>
      <c r="B143" s="55" t="s">
        <v>1481</v>
      </c>
      <c r="C143" s="55" t="s">
        <v>86</v>
      </c>
      <c r="D143" s="56" t="s">
        <v>378</v>
      </c>
      <c r="E143" s="56" t="s">
        <v>378</v>
      </c>
      <c r="F143" s="56"/>
      <c r="G143" s="57" t="s">
        <v>1482</v>
      </c>
      <c r="H143" s="64" t="s">
        <v>1483</v>
      </c>
      <c r="I143" s="58">
        <v>46119.0</v>
      </c>
    </row>
    <row r="144" ht="15.75" customHeight="1">
      <c r="A144" s="29" t="str">
        <f t="shared" si="14"/>
        <v>04 - ABR - 26 / 09/04 - QUI</v>
      </c>
      <c r="B144" s="55" t="s">
        <v>1484</v>
      </c>
      <c r="C144" s="55" t="s">
        <v>86</v>
      </c>
      <c r="D144" s="56" t="s">
        <v>378</v>
      </c>
      <c r="E144" s="56" t="s">
        <v>378</v>
      </c>
      <c r="F144" s="56"/>
      <c r="G144" s="57" t="s">
        <v>1485</v>
      </c>
      <c r="H144" s="64" t="s">
        <v>1486</v>
      </c>
      <c r="I144" s="58">
        <v>46119.0</v>
      </c>
    </row>
    <row r="145" ht="15.75" customHeight="1">
      <c r="A145" s="29" t="str">
        <f t="shared" si="14"/>
        <v>04 - ABR - 26 / 09/04 - QUI</v>
      </c>
      <c r="B145" s="55" t="s">
        <v>1487</v>
      </c>
      <c r="C145" s="55" t="s">
        <v>86</v>
      </c>
      <c r="D145" s="56" t="s">
        <v>378</v>
      </c>
      <c r="E145" s="56" t="s">
        <v>378</v>
      </c>
      <c r="F145" s="56"/>
      <c r="G145" s="57" t="s">
        <v>1488</v>
      </c>
      <c r="H145" s="64" t="s">
        <v>1489</v>
      </c>
      <c r="I145" s="58">
        <v>46119.0</v>
      </c>
    </row>
    <row r="146" ht="15.75" customHeight="1">
      <c r="A146" s="37" t="str">
        <f t="shared" ref="A146:A155" si="15">HYPERLINK("https://drive.google.com/drive/folders/1UwbznNq9XP38iQYSyEvvZ-X3naw5rkjz", "04 - ABR - 26 / 08/04 - QUA")</f>
        <v>04 - ABR - 26 / 08/04 - QUA</v>
      </c>
      <c r="B146" s="59" t="s">
        <v>1490</v>
      </c>
      <c r="C146" s="59" t="s">
        <v>86</v>
      </c>
      <c r="D146" s="60" t="s">
        <v>378</v>
      </c>
      <c r="E146" s="60" t="s">
        <v>378</v>
      </c>
      <c r="F146" s="60"/>
      <c r="G146" s="61" t="s">
        <v>1491</v>
      </c>
      <c r="H146" s="63" t="s">
        <v>1492</v>
      </c>
      <c r="I146" s="62">
        <v>46119.0</v>
      </c>
    </row>
    <row r="147" ht="15.75" customHeight="1">
      <c r="A147" s="29" t="str">
        <f t="shared" si="15"/>
        <v>04 - ABR - 26 / 08/04 - QUA</v>
      </c>
      <c r="B147" s="55" t="s">
        <v>1493</v>
      </c>
      <c r="C147" s="55" t="s">
        <v>86</v>
      </c>
      <c r="D147" s="56" t="s">
        <v>378</v>
      </c>
      <c r="E147" s="56" t="s">
        <v>378</v>
      </c>
      <c r="F147" s="56"/>
      <c r="G147" s="57" t="s">
        <v>1494</v>
      </c>
      <c r="H147" s="64" t="s">
        <v>1495</v>
      </c>
      <c r="I147" s="58">
        <v>46118.0</v>
      </c>
    </row>
    <row r="148" ht="15.75" customHeight="1">
      <c r="A148" s="29" t="str">
        <f t="shared" si="15"/>
        <v>04 - ABR - 26 / 08/04 - QUA</v>
      </c>
      <c r="B148" s="55" t="s">
        <v>1496</v>
      </c>
      <c r="C148" s="55" t="s">
        <v>86</v>
      </c>
      <c r="D148" s="56" t="s">
        <v>378</v>
      </c>
      <c r="E148" s="56" t="s">
        <v>378</v>
      </c>
      <c r="F148" s="56"/>
      <c r="G148" s="57" t="s">
        <v>1497</v>
      </c>
      <c r="H148" s="64" t="s">
        <v>1498</v>
      </c>
      <c r="I148" s="58">
        <v>46118.0</v>
      </c>
    </row>
    <row r="149" ht="15.75" customHeight="1">
      <c r="A149" s="29" t="str">
        <f t="shared" si="15"/>
        <v>04 - ABR - 26 / 08/04 - QUA</v>
      </c>
      <c r="B149" s="55" t="s">
        <v>1499</v>
      </c>
      <c r="C149" s="55" t="s">
        <v>86</v>
      </c>
      <c r="D149" s="56" t="s">
        <v>378</v>
      </c>
      <c r="E149" s="56" t="s">
        <v>378</v>
      </c>
      <c r="F149" s="56"/>
      <c r="G149" s="57" t="s">
        <v>1500</v>
      </c>
      <c r="H149" s="64" t="s">
        <v>1501</v>
      </c>
      <c r="I149" s="58">
        <v>46118.0</v>
      </c>
    </row>
    <row r="150" ht="15.75" customHeight="1">
      <c r="A150" s="29" t="str">
        <f t="shared" si="15"/>
        <v>04 - ABR - 26 / 08/04 - QUA</v>
      </c>
      <c r="B150" s="55" t="s">
        <v>1502</v>
      </c>
      <c r="C150" s="55" t="s">
        <v>86</v>
      </c>
      <c r="D150" s="56" t="s">
        <v>378</v>
      </c>
      <c r="E150" s="56" t="s">
        <v>378</v>
      </c>
      <c r="F150" s="56"/>
      <c r="G150" s="57" t="s">
        <v>1503</v>
      </c>
      <c r="H150" s="64" t="s">
        <v>1504</v>
      </c>
      <c r="I150" s="58">
        <v>46118.0</v>
      </c>
    </row>
    <row r="151" ht="15.75" customHeight="1">
      <c r="A151" s="29" t="str">
        <f t="shared" si="15"/>
        <v>04 - ABR - 26 / 08/04 - QUA</v>
      </c>
      <c r="B151" s="55" t="s">
        <v>1505</v>
      </c>
      <c r="C151" s="55" t="s">
        <v>86</v>
      </c>
      <c r="D151" s="56" t="s">
        <v>378</v>
      </c>
      <c r="E151" s="56" t="s">
        <v>378</v>
      </c>
      <c r="F151" s="56"/>
      <c r="G151" s="57" t="s">
        <v>1506</v>
      </c>
      <c r="H151" s="64" t="s">
        <v>1507</v>
      </c>
      <c r="I151" s="58">
        <v>46118.0</v>
      </c>
    </row>
    <row r="152" ht="15.75" customHeight="1">
      <c r="A152" s="29" t="str">
        <f t="shared" si="15"/>
        <v>04 - ABR - 26 / 08/04 - QUA</v>
      </c>
      <c r="B152" s="55" t="s">
        <v>1508</v>
      </c>
      <c r="C152" s="55" t="s">
        <v>86</v>
      </c>
      <c r="D152" s="56" t="s">
        <v>378</v>
      </c>
      <c r="E152" s="56" t="s">
        <v>378</v>
      </c>
      <c r="F152" s="56"/>
      <c r="G152" s="57" t="s">
        <v>1509</v>
      </c>
      <c r="H152" s="64" t="s">
        <v>1510</v>
      </c>
      <c r="I152" s="58">
        <v>46118.0</v>
      </c>
    </row>
    <row r="153" ht="15.75" customHeight="1">
      <c r="A153" s="29" t="str">
        <f t="shared" si="15"/>
        <v>04 - ABR - 26 / 08/04 - QUA</v>
      </c>
      <c r="B153" s="55" t="s">
        <v>1511</v>
      </c>
      <c r="C153" s="55" t="s">
        <v>86</v>
      </c>
      <c r="D153" s="56" t="s">
        <v>378</v>
      </c>
      <c r="E153" s="56" t="s">
        <v>378</v>
      </c>
      <c r="F153" s="56"/>
      <c r="G153" s="57" t="s">
        <v>1512</v>
      </c>
      <c r="H153" s="64" t="s">
        <v>1513</v>
      </c>
      <c r="I153" s="58">
        <v>46118.0</v>
      </c>
    </row>
    <row r="154" ht="15.75" customHeight="1">
      <c r="A154" s="29" t="str">
        <f t="shared" si="15"/>
        <v>04 - ABR - 26 / 08/04 - QUA</v>
      </c>
      <c r="B154" s="55" t="s">
        <v>1514</v>
      </c>
      <c r="C154" s="55" t="s">
        <v>86</v>
      </c>
      <c r="D154" s="56" t="s">
        <v>378</v>
      </c>
      <c r="E154" s="56" t="s">
        <v>378</v>
      </c>
      <c r="F154" s="56"/>
      <c r="G154" s="57" t="s">
        <v>1515</v>
      </c>
      <c r="H154" s="64" t="s">
        <v>1516</v>
      </c>
      <c r="I154" s="58">
        <v>46118.0</v>
      </c>
    </row>
    <row r="155" ht="15.75" customHeight="1">
      <c r="A155" s="29" t="str">
        <f t="shared" si="15"/>
        <v>04 - ABR - 26 / 08/04 - QUA</v>
      </c>
      <c r="B155" s="55" t="s">
        <v>1517</v>
      </c>
      <c r="C155" s="55" t="s">
        <v>86</v>
      </c>
      <c r="D155" s="56" t="s">
        <v>378</v>
      </c>
      <c r="E155" s="56" t="s">
        <v>378</v>
      </c>
      <c r="F155" s="56"/>
      <c r="G155" s="57" t="s">
        <v>1518</v>
      </c>
      <c r="H155" s="64" t="s">
        <v>1519</v>
      </c>
      <c r="I155" s="58">
        <v>46118.0</v>
      </c>
    </row>
    <row r="156" ht="15.75" customHeight="1">
      <c r="A156" s="37" t="str">
        <f t="shared" ref="A156:A165" si="16">HYPERLINK("https://drive.google.com/drive/folders/1KwUBFgyBtGPO2zr73QU_nRvMngLcJkLK", "04 - ABR - 26 / 07/04 - TER")</f>
        <v>04 - ABR - 26 / 07/04 - TER</v>
      </c>
      <c r="B156" s="59" t="s">
        <v>1520</v>
      </c>
      <c r="C156" s="59" t="s">
        <v>602</v>
      </c>
      <c r="D156" s="60" t="s">
        <v>378</v>
      </c>
      <c r="E156" s="60" t="s">
        <v>378</v>
      </c>
      <c r="F156" s="60"/>
      <c r="G156" s="61" t="s">
        <v>1521</v>
      </c>
      <c r="H156" s="63" t="s">
        <v>1522</v>
      </c>
      <c r="I156" s="62">
        <v>46111.0</v>
      </c>
    </row>
    <row r="157" ht="15.75" customHeight="1">
      <c r="A157" s="29" t="str">
        <f t="shared" si="16"/>
        <v>04 - ABR - 26 / 07/04 - TER</v>
      </c>
      <c r="B157" s="55" t="s">
        <v>1523</v>
      </c>
      <c r="C157" s="55" t="s">
        <v>602</v>
      </c>
      <c r="D157" s="56" t="s">
        <v>378</v>
      </c>
      <c r="E157" s="56" t="s">
        <v>378</v>
      </c>
      <c r="F157" s="56"/>
      <c r="G157" s="57" t="s">
        <v>1524</v>
      </c>
      <c r="H157" s="64" t="s">
        <v>1525</v>
      </c>
      <c r="I157" s="58">
        <v>46111.0</v>
      </c>
    </row>
    <row r="158" ht="15.75" customHeight="1">
      <c r="A158" s="29" t="str">
        <f t="shared" si="16"/>
        <v>04 - ABR - 26 / 07/04 - TER</v>
      </c>
      <c r="B158" s="55" t="s">
        <v>1526</v>
      </c>
      <c r="C158" s="55" t="s">
        <v>602</v>
      </c>
      <c r="D158" s="56" t="s">
        <v>378</v>
      </c>
      <c r="E158" s="56" t="s">
        <v>378</v>
      </c>
      <c r="F158" s="56"/>
      <c r="G158" s="57" t="s">
        <v>1527</v>
      </c>
      <c r="H158" s="64" t="s">
        <v>1528</v>
      </c>
      <c r="I158" s="58">
        <v>46111.0</v>
      </c>
    </row>
    <row r="159" ht="15.75" customHeight="1">
      <c r="A159" s="29" t="str">
        <f t="shared" si="16"/>
        <v>04 - ABR - 26 / 07/04 - TER</v>
      </c>
      <c r="B159" s="55" t="s">
        <v>1529</v>
      </c>
      <c r="C159" s="55" t="s">
        <v>602</v>
      </c>
      <c r="D159" s="56" t="s">
        <v>378</v>
      </c>
      <c r="E159" s="56" t="s">
        <v>378</v>
      </c>
      <c r="F159" s="56"/>
      <c r="G159" s="57" t="s">
        <v>1530</v>
      </c>
      <c r="H159" s="64" t="s">
        <v>1531</v>
      </c>
      <c r="I159" s="58">
        <v>46111.0</v>
      </c>
    </row>
    <row r="160" ht="15.75" customHeight="1">
      <c r="A160" s="29" t="str">
        <f t="shared" si="16"/>
        <v>04 - ABR - 26 / 07/04 - TER</v>
      </c>
      <c r="B160" s="55" t="s">
        <v>1532</v>
      </c>
      <c r="C160" s="55" t="s">
        <v>86</v>
      </c>
      <c r="D160" s="56" t="s">
        <v>378</v>
      </c>
      <c r="E160" s="56" t="s">
        <v>378</v>
      </c>
      <c r="F160" s="56"/>
      <c r="G160" s="57" t="s">
        <v>1533</v>
      </c>
      <c r="H160" s="64" t="s">
        <v>1534</v>
      </c>
      <c r="I160" s="58">
        <v>46118.0</v>
      </c>
    </row>
    <row r="161" ht="15.75" customHeight="1">
      <c r="A161" s="29" t="str">
        <f t="shared" si="16"/>
        <v>04 - ABR - 26 / 07/04 - TER</v>
      </c>
      <c r="B161" s="55" t="s">
        <v>1535</v>
      </c>
      <c r="C161" s="55" t="s">
        <v>86</v>
      </c>
      <c r="D161" s="56" t="s">
        <v>378</v>
      </c>
      <c r="E161" s="56" t="s">
        <v>378</v>
      </c>
      <c r="F161" s="56"/>
      <c r="G161" s="57" t="s">
        <v>1536</v>
      </c>
      <c r="H161" s="64" t="s">
        <v>1537</v>
      </c>
      <c r="I161" s="58">
        <v>46118.0</v>
      </c>
    </row>
    <row r="162" ht="15.75" customHeight="1">
      <c r="A162" s="29" t="str">
        <f t="shared" si="16"/>
        <v>04 - ABR - 26 / 07/04 - TER</v>
      </c>
      <c r="B162" s="55" t="s">
        <v>1538</v>
      </c>
      <c r="C162" s="55" t="s">
        <v>86</v>
      </c>
      <c r="D162" s="56" t="s">
        <v>378</v>
      </c>
      <c r="E162" s="56" t="s">
        <v>378</v>
      </c>
      <c r="F162" s="56"/>
      <c r="G162" s="57" t="s">
        <v>1539</v>
      </c>
      <c r="H162" s="64" t="s">
        <v>1540</v>
      </c>
      <c r="I162" s="58">
        <v>46118.0</v>
      </c>
    </row>
    <row r="163" ht="15.75" customHeight="1">
      <c r="A163" s="29" t="str">
        <f t="shared" si="16"/>
        <v>04 - ABR - 26 / 07/04 - TER</v>
      </c>
      <c r="B163" s="55" t="s">
        <v>1541</v>
      </c>
      <c r="C163" s="55" t="s">
        <v>86</v>
      </c>
      <c r="D163" s="56" t="s">
        <v>378</v>
      </c>
      <c r="E163" s="56" t="s">
        <v>378</v>
      </c>
      <c r="F163" s="56"/>
      <c r="G163" s="57" t="s">
        <v>1542</v>
      </c>
      <c r="H163" s="64" t="s">
        <v>1543</v>
      </c>
      <c r="I163" s="58">
        <v>46118.0</v>
      </c>
    </row>
    <row r="164" ht="15.75" customHeight="1">
      <c r="A164" s="29" t="str">
        <f t="shared" si="16"/>
        <v>04 - ABR - 26 / 07/04 - TER</v>
      </c>
      <c r="B164" s="55" t="s">
        <v>1544</v>
      </c>
      <c r="C164" s="55" t="s">
        <v>86</v>
      </c>
      <c r="D164" s="56" t="s">
        <v>378</v>
      </c>
      <c r="E164" s="56" t="s">
        <v>378</v>
      </c>
      <c r="F164" s="56"/>
      <c r="G164" s="57" t="s">
        <v>1545</v>
      </c>
      <c r="H164" s="64" t="s">
        <v>1546</v>
      </c>
      <c r="I164" s="58">
        <v>46112.0</v>
      </c>
    </row>
    <row r="165" ht="15.75" customHeight="1">
      <c r="A165" s="29" t="str">
        <f t="shared" si="16"/>
        <v>04 - ABR - 26 / 07/04 - TER</v>
      </c>
      <c r="B165" s="55" t="s">
        <v>1547</v>
      </c>
      <c r="C165" s="55" t="s">
        <v>86</v>
      </c>
      <c r="D165" s="56" t="s">
        <v>378</v>
      </c>
      <c r="E165" s="56" t="s">
        <v>378</v>
      </c>
      <c r="F165" s="56"/>
      <c r="G165" s="57" t="s">
        <v>1548</v>
      </c>
      <c r="H165" s="64" t="s">
        <v>1549</v>
      </c>
      <c r="I165" s="58">
        <v>46112.0</v>
      </c>
    </row>
    <row r="166" ht="15.75" customHeight="1">
      <c r="A166" s="37" t="str">
        <f t="shared" ref="A166:A175" si="17">HYPERLINK("https://drive.google.com/drive/folders/1m8hIdfr2pHt_CukfOGt7xApN8RZG-n6K", "04 - ABR - 26 / 06/04 - SEG")</f>
        <v>04 - ABR - 26 / 06/04 - SEG</v>
      </c>
      <c r="B166" s="59" t="s">
        <v>1550</v>
      </c>
      <c r="C166" s="59" t="s">
        <v>86</v>
      </c>
      <c r="D166" s="60" t="s">
        <v>378</v>
      </c>
      <c r="E166" s="60" t="s">
        <v>378</v>
      </c>
      <c r="F166" s="60"/>
      <c r="G166" s="61" t="s">
        <v>1551</v>
      </c>
      <c r="H166" s="63" t="s">
        <v>1552</v>
      </c>
      <c r="I166" s="62">
        <v>46112.0</v>
      </c>
    </row>
    <row r="167" ht="15.75" customHeight="1">
      <c r="A167" s="29" t="str">
        <f t="shared" si="17"/>
        <v>04 - ABR - 26 / 06/04 - SEG</v>
      </c>
      <c r="B167" s="55" t="s">
        <v>1553</v>
      </c>
      <c r="C167" s="55" t="s">
        <v>86</v>
      </c>
      <c r="D167" s="56" t="s">
        <v>378</v>
      </c>
      <c r="E167" s="56" t="s">
        <v>378</v>
      </c>
      <c r="F167" s="56"/>
      <c r="G167" s="57" t="s">
        <v>1554</v>
      </c>
      <c r="H167" s="64" t="s">
        <v>1555</v>
      </c>
      <c r="I167" s="58">
        <v>46112.0</v>
      </c>
    </row>
    <row r="168" ht="15.75" customHeight="1">
      <c r="A168" s="29" t="str">
        <f t="shared" si="17"/>
        <v>04 - ABR - 26 / 06/04 - SEG</v>
      </c>
      <c r="B168" s="55" t="s">
        <v>1556</v>
      </c>
      <c r="C168" s="55" t="s">
        <v>86</v>
      </c>
      <c r="D168" s="56" t="s">
        <v>378</v>
      </c>
      <c r="E168" s="56" t="s">
        <v>378</v>
      </c>
      <c r="F168" s="56"/>
      <c r="G168" s="57" t="s">
        <v>1557</v>
      </c>
      <c r="H168" s="64" t="s">
        <v>1558</v>
      </c>
      <c r="I168" s="58">
        <v>46112.0</v>
      </c>
    </row>
    <row r="169" ht="15.75" customHeight="1">
      <c r="A169" s="29" t="str">
        <f t="shared" si="17"/>
        <v>04 - ABR - 26 / 06/04 - SEG</v>
      </c>
      <c r="B169" s="55" t="s">
        <v>1559</v>
      </c>
      <c r="C169" s="55" t="s">
        <v>86</v>
      </c>
      <c r="D169" s="56" t="s">
        <v>378</v>
      </c>
      <c r="E169" s="56" t="s">
        <v>378</v>
      </c>
      <c r="F169" s="56"/>
      <c r="G169" s="57" t="s">
        <v>1560</v>
      </c>
      <c r="H169" s="64" t="s">
        <v>1561</v>
      </c>
      <c r="I169" s="58">
        <v>46112.0</v>
      </c>
    </row>
    <row r="170" ht="15.75" customHeight="1">
      <c r="A170" s="29" t="str">
        <f t="shared" si="17"/>
        <v>04 - ABR - 26 / 06/04 - SEG</v>
      </c>
      <c r="B170" s="55" t="s">
        <v>1562</v>
      </c>
      <c r="C170" s="55" t="s">
        <v>86</v>
      </c>
      <c r="D170" s="56" t="s">
        <v>378</v>
      </c>
      <c r="E170" s="56" t="s">
        <v>378</v>
      </c>
      <c r="F170" s="56"/>
      <c r="G170" s="57" t="s">
        <v>1563</v>
      </c>
      <c r="H170" s="64" t="s">
        <v>1564</v>
      </c>
      <c r="I170" s="58">
        <v>46112.0</v>
      </c>
    </row>
    <row r="171" ht="15.75" customHeight="1">
      <c r="A171" s="29" t="str">
        <f t="shared" si="17"/>
        <v>04 - ABR - 26 / 06/04 - SEG</v>
      </c>
      <c r="B171" s="55" t="s">
        <v>1565</v>
      </c>
      <c r="C171" s="55" t="s">
        <v>86</v>
      </c>
      <c r="D171" s="56" t="s">
        <v>378</v>
      </c>
      <c r="E171" s="56" t="s">
        <v>378</v>
      </c>
      <c r="F171" s="56"/>
      <c r="G171" s="57" t="s">
        <v>1566</v>
      </c>
      <c r="H171" s="64" t="s">
        <v>1567</v>
      </c>
      <c r="I171" s="58">
        <v>46112.0</v>
      </c>
    </row>
    <row r="172" ht="15.75" customHeight="1">
      <c r="A172" s="29" t="str">
        <f t="shared" si="17"/>
        <v>04 - ABR - 26 / 06/04 - SEG</v>
      </c>
      <c r="B172" s="55" t="s">
        <v>1568</v>
      </c>
      <c r="C172" s="55" t="s">
        <v>86</v>
      </c>
      <c r="D172" s="56" t="s">
        <v>378</v>
      </c>
      <c r="E172" s="56" t="s">
        <v>378</v>
      </c>
      <c r="F172" s="56"/>
      <c r="G172" s="57" t="s">
        <v>1569</v>
      </c>
      <c r="H172" s="64" t="s">
        <v>1570</v>
      </c>
      <c r="I172" s="58">
        <v>46112.0</v>
      </c>
    </row>
    <row r="173" ht="15.75" customHeight="1">
      <c r="A173" s="29" t="str">
        <f t="shared" si="17"/>
        <v>04 - ABR - 26 / 06/04 - SEG</v>
      </c>
      <c r="B173" s="55" t="s">
        <v>1571</v>
      </c>
      <c r="C173" s="55" t="s">
        <v>86</v>
      </c>
      <c r="D173" s="56" t="s">
        <v>378</v>
      </c>
      <c r="E173" s="56" t="s">
        <v>378</v>
      </c>
      <c r="F173" s="56"/>
      <c r="G173" s="57" t="s">
        <v>1572</v>
      </c>
      <c r="H173" s="64" t="s">
        <v>1573</v>
      </c>
      <c r="I173" s="58">
        <v>46111.0</v>
      </c>
    </row>
    <row r="174" ht="15.75" customHeight="1">
      <c r="A174" s="29" t="str">
        <f t="shared" si="17"/>
        <v>04 - ABR - 26 / 06/04 - SEG</v>
      </c>
      <c r="B174" s="55" t="s">
        <v>1574</v>
      </c>
      <c r="C174" s="55" t="s">
        <v>86</v>
      </c>
      <c r="D174" s="56" t="s">
        <v>378</v>
      </c>
      <c r="E174" s="56" t="s">
        <v>378</v>
      </c>
      <c r="F174" s="56"/>
      <c r="G174" s="57" t="s">
        <v>1575</v>
      </c>
      <c r="H174" s="64" t="s">
        <v>1576</v>
      </c>
      <c r="I174" s="58">
        <v>46111.0</v>
      </c>
    </row>
    <row r="175" ht="15.75" customHeight="1">
      <c r="A175" s="29" t="str">
        <f t="shared" si="17"/>
        <v>04 - ABR - 26 / 06/04 - SEG</v>
      </c>
      <c r="B175" s="55" t="s">
        <v>1577</v>
      </c>
      <c r="C175" s="55" t="s">
        <v>86</v>
      </c>
      <c r="D175" s="56" t="s">
        <v>378</v>
      </c>
      <c r="E175" s="56" t="s">
        <v>378</v>
      </c>
      <c r="F175" s="56"/>
      <c r="G175" s="57" t="s">
        <v>1578</v>
      </c>
      <c r="H175" s="64" t="s">
        <v>1579</v>
      </c>
      <c r="I175" s="58">
        <v>46111.0</v>
      </c>
    </row>
    <row r="176" ht="15.75" customHeight="1">
      <c r="A176" s="15"/>
      <c r="B176" s="15"/>
      <c r="C176" s="15"/>
      <c r="D176" s="56"/>
      <c r="E176" s="56"/>
      <c r="F176" s="56"/>
      <c r="G176" s="57"/>
      <c r="H176" s="56"/>
      <c r="I176" s="56"/>
    </row>
    <row r="177" ht="15.75" customHeight="1">
      <c r="A177" s="55"/>
      <c r="B177" s="55"/>
      <c r="C177" s="55"/>
      <c r="D177" s="56"/>
      <c r="E177" s="56"/>
      <c r="F177" s="56"/>
      <c r="G177" s="57"/>
      <c r="H177" s="56"/>
      <c r="I177" s="56"/>
    </row>
    <row r="178" ht="15.75" customHeight="1">
      <c r="A178" s="15"/>
      <c r="B178" s="15"/>
      <c r="C178" s="15"/>
      <c r="D178" s="56"/>
      <c r="E178" s="56"/>
      <c r="F178" s="56"/>
      <c r="G178" s="57"/>
      <c r="H178" s="56"/>
      <c r="I178" s="56"/>
    </row>
    <row r="179" ht="15.75" customHeight="1">
      <c r="A179" s="55"/>
      <c r="B179" s="55"/>
      <c r="C179" s="55"/>
      <c r="D179" s="56"/>
      <c r="E179" s="56"/>
      <c r="F179" s="56"/>
      <c r="G179" s="57"/>
      <c r="H179" s="56"/>
      <c r="I179" s="56"/>
    </row>
    <row r="180" ht="15.75" customHeight="1">
      <c r="A180" s="15"/>
      <c r="B180" s="15"/>
      <c r="C180" s="15"/>
      <c r="D180" s="56"/>
      <c r="E180" s="56"/>
      <c r="F180" s="56"/>
      <c r="G180" s="57"/>
      <c r="H180" s="56"/>
      <c r="I180" s="56"/>
    </row>
    <row r="181" ht="15.75" customHeight="1">
      <c r="A181" s="55"/>
      <c r="B181" s="55"/>
      <c r="C181" s="55"/>
      <c r="D181" s="56"/>
      <c r="E181" s="56"/>
      <c r="F181" s="56"/>
      <c r="G181" s="57"/>
      <c r="H181" s="56"/>
      <c r="I181" s="56"/>
    </row>
    <row r="182" ht="15.75" customHeight="1">
      <c r="A182" s="15"/>
      <c r="B182" s="15"/>
      <c r="C182" s="15"/>
      <c r="D182" s="56"/>
      <c r="E182" s="56"/>
      <c r="F182" s="56"/>
      <c r="G182" s="57"/>
      <c r="H182" s="56"/>
      <c r="I182" s="56"/>
    </row>
    <row r="183" ht="15.75" customHeight="1">
      <c r="A183" s="55"/>
      <c r="B183" s="55"/>
      <c r="C183" s="55"/>
      <c r="D183" s="56"/>
      <c r="E183" s="56"/>
      <c r="F183" s="56"/>
      <c r="G183" s="57"/>
      <c r="H183" s="56"/>
      <c r="I183" s="56"/>
    </row>
    <row r="184" ht="15.75" customHeight="1">
      <c r="A184" s="15"/>
      <c r="B184" s="15"/>
      <c r="C184" s="15"/>
      <c r="D184" s="56"/>
      <c r="E184" s="56"/>
      <c r="F184" s="56"/>
      <c r="G184" s="57"/>
      <c r="H184" s="56"/>
      <c r="I184" s="56"/>
    </row>
    <row r="185" ht="15.75" customHeight="1">
      <c r="A185" s="55"/>
      <c r="B185" s="55"/>
      <c r="C185" s="55"/>
      <c r="D185" s="56"/>
      <c r="E185" s="56"/>
      <c r="F185" s="56"/>
      <c r="G185" s="57"/>
      <c r="H185" s="56"/>
      <c r="I185" s="56"/>
    </row>
    <row r="186" ht="15.75" customHeight="1">
      <c r="A186" s="15"/>
      <c r="B186" s="15"/>
      <c r="C186" s="15"/>
      <c r="D186" s="56"/>
      <c r="E186" s="56"/>
      <c r="F186" s="56"/>
      <c r="G186" s="57"/>
      <c r="H186" s="56"/>
      <c r="I186" s="56"/>
    </row>
    <row r="187" ht="15.75" customHeight="1">
      <c r="A187" s="55"/>
      <c r="B187" s="55"/>
      <c r="C187" s="55"/>
      <c r="D187" s="56"/>
      <c r="E187" s="56"/>
      <c r="F187" s="56"/>
      <c r="G187" s="57"/>
      <c r="H187" s="56"/>
      <c r="I187" s="56"/>
    </row>
    <row r="188" ht="15.75" customHeight="1">
      <c r="A188" s="15"/>
      <c r="B188" s="15"/>
      <c r="C188" s="15"/>
      <c r="D188" s="56"/>
      <c r="E188" s="56"/>
      <c r="F188" s="56"/>
      <c r="G188" s="57"/>
      <c r="H188" s="56"/>
      <c r="I188" s="56"/>
    </row>
    <row r="189" ht="15.75" customHeight="1">
      <c r="A189" s="55"/>
      <c r="B189" s="55"/>
      <c r="C189" s="55"/>
      <c r="D189" s="56"/>
      <c r="E189" s="56"/>
      <c r="F189" s="56"/>
      <c r="G189" s="57"/>
      <c r="H189" s="56"/>
      <c r="I189" s="56"/>
    </row>
    <row r="190" ht="15.75" customHeight="1">
      <c r="A190" s="15"/>
      <c r="B190" s="15"/>
      <c r="C190" s="15"/>
      <c r="D190" s="56"/>
      <c r="E190" s="56"/>
      <c r="F190" s="56"/>
      <c r="G190" s="57"/>
      <c r="H190" s="56"/>
      <c r="I190" s="56"/>
    </row>
    <row r="191" ht="15.75" customHeight="1">
      <c r="A191" s="55"/>
      <c r="B191" s="55"/>
      <c r="C191" s="55"/>
      <c r="D191" s="56"/>
      <c r="E191" s="56"/>
      <c r="F191" s="56"/>
      <c r="G191" s="57"/>
      <c r="H191" s="56"/>
      <c r="I191" s="56"/>
    </row>
    <row r="192" ht="15.75" customHeight="1">
      <c r="A192" s="15"/>
      <c r="B192" s="15"/>
      <c r="C192" s="15"/>
      <c r="D192" s="56"/>
      <c r="E192" s="56"/>
      <c r="F192" s="56"/>
      <c r="G192" s="57"/>
      <c r="H192" s="56"/>
      <c r="I192" s="56"/>
    </row>
    <row r="193" ht="15.75" customHeight="1">
      <c r="A193" s="55"/>
      <c r="B193" s="55"/>
      <c r="C193" s="55"/>
      <c r="D193" s="56"/>
      <c r="E193" s="56"/>
      <c r="F193" s="56"/>
      <c r="G193" s="57"/>
      <c r="H193" s="56"/>
      <c r="I193" s="56"/>
    </row>
    <row r="194" ht="15.75" customHeight="1">
      <c r="A194" s="15"/>
      <c r="B194" s="15"/>
      <c r="C194" s="15"/>
      <c r="D194" s="56"/>
      <c r="E194" s="56"/>
      <c r="F194" s="56"/>
      <c r="G194" s="57"/>
      <c r="H194" s="56"/>
      <c r="I194" s="56"/>
    </row>
    <row r="195" ht="15.75" customHeight="1">
      <c r="A195" s="55"/>
      <c r="B195" s="55"/>
      <c r="C195" s="55"/>
      <c r="D195" s="56"/>
      <c r="E195" s="56"/>
      <c r="F195" s="56"/>
      <c r="G195" s="57"/>
      <c r="H195" s="56"/>
      <c r="I195" s="56"/>
    </row>
    <row r="196" ht="15.75" customHeight="1">
      <c r="A196" s="15"/>
      <c r="B196" s="15"/>
      <c r="C196" s="15"/>
      <c r="D196" s="56"/>
      <c r="E196" s="56"/>
      <c r="F196" s="56"/>
      <c r="G196" s="57"/>
      <c r="H196" s="56"/>
      <c r="I196" s="56"/>
    </row>
    <row r="197" ht="15.75" customHeight="1">
      <c r="A197" s="55"/>
      <c r="B197" s="55"/>
      <c r="C197" s="55"/>
      <c r="D197" s="56"/>
      <c r="E197" s="56"/>
      <c r="F197" s="56"/>
      <c r="G197" s="57"/>
      <c r="H197" s="56"/>
      <c r="I197" s="56"/>
    </row>
    <row r="198" ht="15.75" customHeight="1">
      <c r="A198" s="15"/>
      <c r="B198" s="15"/>
      <c r="C198" s="15"/>
      <c r="D198" s="56"/>
      <c r="E198" s="56"/>
      <c r="F198" s="56"/>
      <c r="G198" s="57"/>
      <c r="H198" s="56"/>
      <c r="I198" s="56"/>
    </row>
    <row r="199" ht="15.75" customHeight="1">
      <c r="A199" s="55"/>
      <c r="B199" s="55"/>
      <c r="C199" s="55"/>
      <c r="D199" s="56"/>
      <c r="E199" s="56"/>
      <c r="F199" s="56"/>
      <c r="G199" s="57"/>
      <c r="H199" s="56"/>
      <c r="I199" s="56"/>
    </row>
    <row r="200" ht="15.75" customHeight="1">
      <c r="A200" s="15"/>
      <c r="B200" s="15"/>
      <c r="C200" s="15"/>
      <c r="D200" s="56"/>
      <c r="E200" s="56"/>
      <c r="F200" s="56"/>
      <c r="G200" s="57"/>
      <c r="H200" s="56"/>
      <c r="I200" s="56"/>
    </row>
    <row r="201" ht="15.75" customHeight="1">
      <c r="A201" s="55"/>
      <c r="B201" s="55"/>
      <c r="C201" s="55"/>
      <c r="D201" s="56"/>
      <c r="E201" s="56"/>
      <c r="F201" s="56"/>
      <c r="G201" s="57"/>
      <c r="H201" s="56"/>
      <c r="I201" s="56"/>
    </row>
    <row r="202" ht="15.75" customHeight="1">
      <c r="A202" s="15"/>
      <c r="B202" s="15"/>
      <c r="C202" s="15"/>
      <c r="D202" s="56"/>
      <c r="E202" s="56"/>
      <c r="F202" s="56"/>
      <c r="G202" s="57"/>
      <c r="H202" s="56"/>
      <c r="I202" s="56"/>
    </row>
    <row r="203" ht="15.75" customHeight="1">
      <c r="A203" s="55"/>
      <c r="B203" s="55"/>
      <c r="C203" s="55"/>
      <c r="D203" s="56"/>
      <c r="E203" s="56"/>
      <c r="F203" s="56"/>
      <c r="G203" s="57"/>
      <c r="H203" s="56"/>
      <c r="I203" s="56"/>
    </row>
    <row r="204" ht="15.75" customHeight="1">
      <c r="A204" s="15"/>
      <c r="B204" s="15"/>
      <c r="C204" s="15"/>
      <c r="D204" s="56"/>
      <c r="E204" s="56"/>
      <c r="F204" s="56"/>
      <c r="G204" s="57"/>
      <c r="H204" s="56"/>
      <c r="I204" s="56"/>
    </row>
    <row r="205" ht="15.75" customHeight="1">
      <c r="A205" s="55"/>
      <c r="B205" s="55"/>
      <c r="C205" s="55"/>
      <c r="D205" s="56"/>
      <c r="E205" s="56"/>
      <c r="F205" s="56"/>
      <c r="G205" s="57"/>
      <c r="H205" s="56"/>
      <c r="I205" s="56"/>
    </row>
    <row r="206" ht="15.75" customHeight="1">
      <c r="A206" s="15"/>
      <c r="B206" s="15"/>
      <c r="C206" s="15"/>
      <c r="D206" s="56"/>
      <c r="E206" s="56"/>
      <c r="F206" s="56"/>
      <c r="G206" s="57"/>
      <c r="H206" s="56"/>
      <c r="I206" s="56"/>
    </row>
    <row r="207" ht="15.75" customHeight="1">
      <c r="A207" s="55"/>
      <c r="B207" s="55"/>
      <c r="C207" s="55"/>
      <c r="D207" s="56"/>
      <c r="E207" s="56"/>
      <c r="F207" s="56"/>
      <c r="G207" s="57"/>
      <c r="H207" s="56"/>
      <c r="I207" s="56"/>
    </row>
    <row r="208" ht="15.75" customHeight="1">
      <c r="A208" s="15"/>
      <c r="B208" s="15"/>
      <c r="C208" s="15"/>
      <c r="D208" s="56"/>
      <c r="E208" s="56"/>
      <c r="F208" s="56"/>
      <c r="G208" s="57"/>
      <c r="H208" s="56"/>
      <c r="I208" s="56"/>
    </row>
    <row r="209" ht="15.75" customHeight="1">
      <c r="A209" s="55"/>
      <c r="B209" s="55"/>
      <c r="C209" s="55"/>
      <c r="D209" s="56"/>
      <c r="E209" s="56"/>
      <c r="F209" s="56"/>
      <c r="G209" s="57"/>
      <c r="H209" s="56"/>
      <c r="I209" s="56"/>
    </row>
    <row r="210" ht="15.75" customHeight="1">
      <c r="A210" s="15"/>
      <c r="B210" s="15"/>
      <c r="C210" s="15"/>
      <c r="D210" s="56"/>
      <c r="E210" s="56"/>
      <c r="F210" s="56"/>
      <c r="G210" s="57"/>
      <c r="H210" s="56"/>
      <c r="I210" s="56"/>
    </row>
    <row r="211" ht="15.75" customHeight="1">
      <c r="A211" s="55"/>
      <c r="B211" s="55"/>
      <c r="C211" s="55"/>
      <c r="D211" s="56"/>
      <c r="E211" s="56"/>
      <c r="F211" s="56"/>
      <c r="G211" s="57"/>
      <c r="H211" s="56"/>
      <c r="I211" s="56"/>
    </row>
    <row r="212" ht="15.75" customHeight="1">
      <c r="A212" s="15"/>
      <c r="B212" s="15"/>
      <c r="C212" s="15"/>
      <c r="D212" s="56"/>
      <c r="E212" s="56"/>
      <c r="F212" s="56"/>
      <c r="G212" s="57"/>
      <c r="H212" s="56"/>
      <c r="I212" s="56"/>
    </row>
    <row r="213" ht="15.75" customHeight="1">
      <c r="A213" s="55"/>
      <c r="B213" s="55"/>
      <c r="C213" s="55"/>
      <c r="D213" s="56"/>
      <c r="E213" s="56"/>
      <c r="F213" s="56"/>
      <c r="G213" s="57"/>
      <c r="H213" s="56"/>
      <c r="I213" s="56"/>
    </row>
    <row r="214" ht="15.75" customHeight="1">
      <c r="A214" s="15"/>
      <c r="B214" s="15"/>
      <c r="C214" s="15"/>
      <c r="D214" s="56"/>
      <c r="E214" s="56"/>
      <c r="F214" s="56"/>
      <c r="G214" s="57"/>
      <c r="H214" s="56"/>
      <c r="I214" s="56"/>
    </row>
    <row r="215" ht="15.75" customHeight="1">
      <c r="A215" s="55"/>
      <c r="B215" s="55"/>
      <c r="C215" s="55"/>
      <c r="D215" s="56"/>
      <c r="E215" s="56"/>
      <c r="F215" s="56"/>
      <c r="G215" s="57"/>
      <c r="H215" s="56"/>
      <c r="I215" s="56"/>
    </row>
    <row r="216" ht="15.75" customHeight="1">
      <c r="A216" s="15"/>
      <c r="B216" s="15"/>
      <c r="C216" s="15"/>
      <c r="D216" s="56"/>
      <c r="E216" s="56"/>
      <c r="F216" s="56"/>
      <c r="G216" s="57"/>
      <c r="H216" s="56"/>
      <c r="I216" s="56"/>
    </row>
    <row r="217" ht="15.75" customHeight="1">
      <c r="A217" s="55"/>
      <c r="B217" s="55"/>
      <c r="C217" s="55"/>
      <c r="D217" s="56"/>
      <c r="E217" s="56"/>
      <c r="F217" s="56"/>
      <c r="G217" s="57"/>
      <c r="H217" s="56"/>
      <c r="I217" s="56"/>
    </row>
    <row r="218" ht="15.75" customHeight="1">
      <c r="A218" s="15"/>
      <c r="B218" s="15"/>
      <c r="C218" s="15"/>
      <c r="D218" s="56"/>
      <c r="E218" s="56"/>
      <c r="F218" s="56"/>
      <c r="G218" s="57"/>
      <c r="H218" s="56"/>
      <c r="I218" s="56"/>
    </row>
    <row r="219" ht="15.75" customHeight="1">
      <c r="A219" s="55"/>
      <c r="B219" s="55"/>
      <c r="C219" s="55"/>
      <c r="D219" s="56"/>
      <c r="E219" s="56"/>
      <c r="F219" s="56"/>
      <c r="G219" s="57"/>
      <c r="H219" s="56"/>
      <c r="I219" s="56"/>
    </row>
    <row r="220" ht="15.75" customHeight="1">
      <c r="A220" s="15"/>
      <c r="B220" s="15"/>
      <c r="C220" s="15"/>
      <c r="D220" s="56"/>
      <c r="E220" s="56"/>
      <c r="F220" s="56"/>
      <c r="G220" s="57"/>
      <c r="H220" s="56"/>
      <c r="I220" s="56"/>
    </row>
    <row r="221" ht="15.75" customHeight="1">
      <c r="A221" s="55"/>
      <c r="B221" s="55"/>
      <c r="C221" s="55"/>
      <c r="D221" s="56"/>
      <c r="E221" s="56"/>
      <c r="F221" s="56"/>
      <c r="G221" s="57"/>
      <c r="H221" s="56"/>
      <c r="I221" s="56"/>
    </row>
    <row r="222" ht="15.75" customHeight="1">
      <c r="A222" s="15"/>
      <c r="B222" s="15"/>
      <c r="C222" s="15"/>
      <c r="D222" s="56"/>
      <c r="E222" s="56"/>
      <c r="F222" s="56"/>
      <c r="G222" s="57"/>
      <c r="H222" s="56"/>
      <c r="I222" s="56"/>
    </row>
    <row r="223" ht="15.75" customHeight="1">
      <c r="A223" s="55"/>
      <c r="B223" s="55"/>
      <c r="C223" s="55"/>
      <c r="D223" s="56"/>
      <c r="E223" s="56"/>
      <c r="F223" s="56"/>
      <c r="G223" s="57"/>
      <c r="H223" s="56"/>
      <c r="I223" s="56"/>
    </row>
    <row r="224" ht="15.75" customHeight="1">
      <c r="A224" s="15"/>
      <c r="B224" s="15"/>
      <c r="C224" s="15"/>
      <c r="D224" s="56"/>
      <c r="E224" s="56"/>
      <c r="F224" s="56"/>
      <c r="G224" s="57"/>
      <c r="H224" s="56"/>
      <c r="I224" s="56"/>
    </row>
    <row r="225" ht="15.75" customHeight="1">
      <c r="A225" s="55"/>
      <c r="B225" s="55"/>
      <c r="C225" s="55"/>
      <c r="D225" s="56"/>
      <c r="E225" s="56"/>
      <c r="F225" s="56"/>
      <c r="G225" s="57"/>
      <c r="H225" s="56"/>
      <c r="I225" s="56"/>
    </row>
    <row r="226" ht="15.75" customHeight="1">
      <c r="A226" s="15"/>
      <c r="B226" s="15"/>
      <c r="C226" s="15"/>
      <c r="D226" s="56"/>
      <c r="E226" s="56"/>
      <c r="F226" s="56"/>
      <c r="G226" s="57"/>
      <c r="H226" s="56"/>
      <c r="I226" s="56"/>
    </row>
    <row r="227" ht="15.75" customHeight="1">
      <c r="A227" s="55"/>
      <c r="B227" s="55"/>
      <c r="C227" s="55"/>
      <c r="D227" s="56"/>
      <c r="E227" s="56"/>
      <c r="F227" s="56"/>
      <c r="G227" s="57"/>
      <c r="H227" s="56"/>
      <c r="I227" s="56"/>
    </row>
    <row r="228" ht="15.75" customHeight="1">
      <c r="A228" s="15"/>
      <c r="B228" s="15"/>
      <c r="C228" s="15"/>
      <c r="D228" s="56"/>
      <c r="E228" s="56"/>
      <c r="F228" s="56"/>
      <c r="G228" s="57"/>
      <c r="H228" s="56"/>
      <c r="I228" s="56"/>
    </row>
    <row r="229" ht="15.75" customHeight="1">
      <c r="A229" s="55"/>
      <c r="B229" s="55"/>
      <c r="C229" s="55"/>
      <c r="D229" s="56"/>
      <c r="E229" s="56"/>
      <c r="F229" s="56"/>
      <c r="G229" s="57"/>
      <c r="H229" s="56"/>
      <c r="I229" s="56"/>
    </row>
    <row r="230" ht="15.75" customHeight="1">
      <c r="A230" s="15"/>
      <c r="B230" s="15"/>
      <c r="C230" s="15"/>
      <c r="D230" s="56"/>
      <c r="E230" s="56"/>
      <c r="F230" s="56"/>
      <c r="G230" s="57"/>
      <c r="H230" s="56"/>
      <c r="I230" s="56"/>
    </row>
    <row r="231" ht="15.75" customHeight="1">
      <c r="A231" s="55"/>
      <c r="B231" s="55"/>
      <c r="C231" s="55"/>
      <c r="D231" s="56"/>
      <c r="E231" s="56"/>
      <c r="F231" s="56"/>
      <c r="G231" s="57"/>
      <c r="H231" s="56"/>
      <c r="I231" s="56"/>
    </row>
    <row r="232" ht="15.75" customHeight="1">
      <c r="A232" s="15"/>
      <c r="B232" s="15"/>
      <c r="C232" s="15"/>
      <c r="D232" s="56"/>
      <c r="E232" s="56"/>
      <c r="F232" s="56"/>
      <c r="G232" s="57"/>
      <c r="H232" s="56"/>
      <c r="I232" s="56"/>
    </row>
    <row r="233" ht="15.75" customHeight="1">
      <c r="A233" s="55"/>
      <c r="B233" s="55"/>
      <c r="C233" s="55"/>
      <c r="D233" s="56"/>
      <c r="E233" s="56"/>
      <c r="F233" s="56"/>
      <c r="G233" s="57"/>
      <c r="H233" s="56"/>
      <c r="I233" s="56"/>
    </row>
    <row r="234" ht="15.75" customHeight="1">
      <c r="A234" s="15"/>
      <c r="B234" s="15"/>
      <c r="C234" s="15"/>
      <c r="D234" s="56"/>
      <c r="E234" s="56"/>
      <c r="F234" s="56"/>
      <c r="G234" s="57"/>
      <c r="H234" s="56"/>
      <c r="I234" s="56"/>
    </row>
    <row r="235" ht="15.75" customHeight="1">
      <c r="A235" s="55"/>
      <c r="B235" s="55"/>
      <c r="C235" s="55"/>
      <c r="D235" s="56"/>
      <c r="E235" s="56"/>
      <c r="F235" s="56"/>
      <c r="G235" s="57"/>
      <c r="H235" s="56"/>
      <c r="I235" s="56"/>
    </row>
    <row r="236" ht="15.75" customHeight="1">
      <c r="A236" s="15"/>
      <c r="B236" s="15"/>
      <c r="C236" s="15"/>
      <c r="D236" s="56"/>
      <c r="E236" s="56"/>
      <c r="F236" s="56"/>
      <c r="G236" s="57"/>
      <c r="H236" s="56"/>
      <c r="I236" s="56"/>
    </row>
    <row r="237" ht="15.75" customHeight="1">
      <c r="A237" s="55"/>
      <c r="B237" s="55"/>
      <c r="C237" s="55"/>
      <c r="D237" s="56"/>
      <c r="E237" s="56"/>
      <c r="F237" s="56"/>
      <c r="G237" s="57"/>
      <c r="H237" s="56"/>
      <c r="I237" s="56"/>
    </row>
    <row r="238" ht="15.75" customHeight="1">
      <c r="A238" s="15"/>
      <c r="B238" s="15"/>
      <c r="C238" s="15"/>
      <c r="D238" s="56"/>
      <c r="E238" s="56"/>
      <c r="F238" s="56"/>
      <c r="G238" s="57"/>
      <c r="H238" s="56"/>
      <c r="I238" s="56"/>
    </row>
    <row r="239" ht="15.75" customHeight="1">
      <c r="A239" s="55"/>
      <c r="B239" s="55"/>
      <c r="C239" s="55"/>
      <c r="D239" s="56"/>
      <c r="E239" s="56"/>
      <c r="F239" s="56"/>
      <c r="G239" s="57"/>
      <c r="H239" s="56"/>
      <c r="I239" s="56"/>
    </row>
    <row r="240" ht="15.75" customHeight="1">
      <c r="A240" s="15"/>
      <c r="B240" s="15"/>
      <c r="C240" s="15"/>
      <c r="D240" s="56"/>
      <c r="E240" s="56"/>
      <c r="F240" s="56"/>
      <c r="G240" s="57"/>
      <c r="H240" s="56"/>
      <c r="I240" s="56"/>
    </row>
    <row r="241" ht="15.75" customHeight="1">
      <c r="A241" s="55"/>
      <c r="B241" s="55"/>
      <c r="C241" s="55"/>
      <c r="D241" s="56"/>
      <c r="E241" s="56"/>
      <c r="F241" s="56"/>
      <c r="G241" s="57"/>
      <c r="H241" s="56"/>
      <c r="I241" s="56"/>
    </row>
    <row r="242" ht="15.75" customHeight="1">
      <c r="A242" s="15"/>
      <c r="B242" s="15"/>
      <c r="C242" s="15"/>
      <c r="D242" s="56"/>
      <c r="E242" s="56"/>
      <c r="F242" s="56"/>
      <c r="G242" s="57"/>
      <c r="H242" s="56"/>
      <c r="I242" s="56"/>
    </row>
    <row r="243" ht="15.75" customHeight="1">
      <c r="A243" s="55"/>
      <c r="B243" s="55"/>
      <c r="C243" s="55"/>
      <c r="D243" s="56"/>
      <c r="E243" s="56"/>
      <c r="F243" s="56"/>
      <c r="G243" s="57"/>
      <c r="H243" s="56"/>
      <c r="I243" s="56"/>
    </row>
    <row r="244" ht="15.75" customHeight="1">
      <c r="A244" s="15"/>
      <c r="B244" s="15"/>
      <c r="C244" s="15"/>
      <c r="D244" s="56"/>
      <c r="E244" s="56"/>
      <c r="F244" s="56"/>
      <c r="G244" s="57"/>
      <c r="H244" s="56"/>
      <c r="I244" s="56"/>
    </row>
    <row r="245" ht="15.75" customHeight="1">
      <c r="A245" s="65" t="s">
        <v>1580</v>
      </c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</row>
  </sheetData>
  <mergeCells count="2">
    <mergeCell ref="A1:G1"/>
    <mergeCell ref="A245:I245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8"/>
    <hyperlink r:id="rId34" ref="H39"/>
    <hyperlink r:id="rId35" ref="H40"/>
    <hyperlink r:id="rId36" ref="H41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6"/>
    <hyperlink r:id="rId52" ref="H57"/>
    <hyperlink r:id="rId53" ref="H58"/>
    <hyperlink r:id="rId54" ref="H59"/>
    <hyperlink r:id="rId55" ref="H60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0"/>
    <hyperlink r:id="rId66" ref="H71"/>
    <hyperlink r:id="rId67" ref="H72"/>
    <hyperlink r:id="rId68" ref="H73"/>
    <hyperlink r:id="rId69" ref="H74"/>
    <hyperlink r:id="rId70" ref="H75"/>
    <hyperlink r:id="rId71" ref="H76"/>
    <hyperlink r:id="rId72" ref="H77"/>
    <hyperlink r:id="rId73" ref="H78"/>
    <hyperlink r:id="rId74" ref="H79"/>
    <hyperlink r:id="rId75" ref="H80"/>
    <hyperlink r:id="rId76" ref="H81"/>
    <hyperlink r:id="rId77" ref="H82"/>
    <hyperlink r:id="rId78" ref="H83"/>
    <hyperlink r:id="rId79" ref="H84"/>
    <hyperlink r:id="rId80" ref="H85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  <hyperlink r:id="rId124" ref="H129"/>
    <hyperlink r:id="rId125" ref="H130"/>
    <hyperlink r:id="rId126" ref="H131"/>
    <hyperlink r:id="rId127" ref="H132"/>
    <hyperlink r:id="rId128" ref="H133"/>
    <hyperlink r:id="rId129" ref="H134"/>
    <hyperlink r:id="rId130" ref="H135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</hyperlinks>
  <printOptions/>
  <pageMargins bottom="1.0" footer="0.0" header="0.0" left="0.75" right="0.75" top="1.0"/>
  <pageSetup orientation="landscape"/>
  <drawing r:id="rId1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0"/>
    <col customWidth="1" min="2" max="2" width="44.25"/>
    <col customWidth="1" min="3" max="3" width="9.38"/>
    <col customWidth="1" min="4" max="4" width="12.63"/>
    <col customWidth="1" min="5" max="5" width="7.38"/>
    <col customWidth="1" min="6" max="6" width="10.0"/>
    <col customWidth="1" min="7" max="7" width="75.88"/>
    <col customWidth="1" min="8" max="8" width="75.63"/>
  </cols>
  <sheetData>
    <row r="1" ht="15.75" customHeight="1">
      <c r="A1" s="16" t="str">
        <f>"MARÇO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MARÇO DE 2026   •   RED [ ██████████ 100% ]   •   EDIT [ ██████████ 100% ]</v>
      </c>
      <c r="H1" s="17" t="s">
        <v>13</v>
      </c>
      <c r="I1" s="18" t="s">
        <v>14</v>
      </c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</row>
    <row r="3" ht="15.75" customHeight="1">
      <c r="A3" s="20">
        <v>10.0</v>
      </c>
      <c r="B3" s="21">
        <v>219.0</v>
      </c>
      <c r="C3" s="22">
        <f>COUNTA(B6:B1000)</f>
        <v>219</v>
      </c>
      <c r="D3" s="23">
        <f>COUNTIF(E6:E1000, "*✔*")</f>
        <v>219</v>
      </c>
      <c r="E3" s="24">
        <f>C3-D3</f>
        <v>0</v>
      </c>
      <c r="F3" s="25">
        <f>MAX(0, B3-C3)</f>
        <v>0</v>
      </c>
      <c r="G3" s="26">
        <f>350 + C3</f>
        <v>569</v>
      </c>
      <c r="H3" s="27"/>
    </row>
    <row r="4" ht="15.75" customHeight="1">
      <c r="A4" s="14"/>
      <c r="B4" s="14"/>
      <c r="C4" s="14"/>
      <c r="D4" s="14"/>
      <c r="E4" s="14"/>
      <c r="F4" s="14"/>
      <c r="G4" s="14"/>
      <c r="H4" s="14"/>
    </row>
    <row r="5" ht="15.75" customHeight="1">
      <c r="A5" s="54" t="s">
        <v>22</v>
      </c>
      <c r="B5" s="54" t="s">
        <v>23</v>
      </c>
      <c r="C5" s="66" t="s">
        <v>24</v>
      </c>
      <c r="D5" s="54" t="s">
        <v>25</v>
      </c>
      <c r="E5" s="54" t="s">
        <v>26</v>
      </c>
      <c r="F5" s="54" t="s">
        <v>27</v>
      </c>
      <c r="G5" s="54" t="s">
        <v>28</v>
      </c>
      <c r="H5" s="54" t="s">
        <v>29</v>
      </c>
      <c r="I5" s="54" t="s">
        <v>30</v>
      </c>
      <c r="J5" s="67" t="s">
        <v>30</v>
      </c>
    </row>
    <row r="6" ht="15.75" customHeight="1">
      <c r="A6" s="55" t="s">
        <v>1581</v>
      </c>
      <c r="B6" s="55"/>
      <c r="C6" s="55"/>
      <c r="D6" s="56"/>
      <c r="E6" s="56"/>
      <c r="F6" s="56"/>
      <c r="G6" s="57"/>
      <c r="H6" s="56"/>
      <c r="I6" s="58"/>
      <c r="J6" s="68"/>
    </row>
    <row r="7" ht="15.75" customHeight="1">
      <c r="A7" s="55" t="s">
        <v>1582</v>
      </c>
      <c r="B7" s="55"/>
      <c r="C7" s="55"/>
      <c r="D7" s="56"/>
      <c r="E7" s="56"/>
      <c r="F7" s="56"/>
      <c r="G7" s="57"/>
      <c r="H7" s="56"/>
      <c r="I7" s="58"/>
      <c r="J7" s="68"/>
    </row>
    <row r="8" ht="15.75" customHeight="1">
      <c r="A8" s="55" t="s">
        <v>1583</v>
      </c>
      <c r="B8" s="55"/>
      <c r="C8" s="55"/>
      <c r="D8" s="56"/>
      <c r="E8" s="56"/>
      <c r="F8" s="56"/>
      <c r="G8" s="57"/>
      <c r="H8" s="56"/>
      <c r="I8" s="58"/>
      <c r="J8" s="68"/>
    </row>
    <row r="9" ht="15.75" customHeight="1">
      <c r="A9" s="55" t="s">
        <v>1584</v>
      </c>
      <c r="B9" s="55"/>
      <c r="C9" s="55"/>
      <c r="D9" s="56"/>
      <c r="E9" s="56"/>
      <c r="F9" s="56"/>
      <c r="G9" s="57"/>
      <c r="H9" s="56"/>
      <c r="I9" s="58"/>
      <c r="J9" s="68"/>
    </row>
    <row r="10" ht="15.75" customHeight="1">
      <c r="A10" s="55" t="s">
        <v>1585</v>
      </c>
      <c r="B10" s="55"/>
      <c r="C10" s="55"/>
      <c r="D10" s="56"/>
      <c r="E10" s="56"/>
      <c r="F10" s="56"/>
      <c r="G10" s="57"/>
      <c r="H10" s="56"/>
      <c r="I10" s="58"/>
      <c r="J10" s="68"/>
    </row>
    <row r="11" ht="15.75" customHeight="1">
      <c r="A11" s="59" t="s">
        <v>1586</v>
      </c>
      <c r="B11" s="59"/>
      <c r="C11" s="59"/>
      <c r="D11" s="60"/>
      <c r="E11" s="60"/>
      <c r="F11" s="60"/>
      <c r="G11" s="61"/>
      <c r="H11" s="60"/>
      <c r="I11" s="62"/>
      <c r="J11" s="68"/>
    </row>
    <row r="12" ht="15.75" customHeight="1">
      <c r="A12" s="55" t="s">
        <v>1587</v>
      </c>
      <c r="B12" s="55"/>
      <c r="C12" s="55"/>
      <c r="D12" s="56"/>
      <c r="E12" s="56"/>
      <c r="F12" s="56"/>
      <c r="G12" s="57"/>
      <c r="H12" s="56"/>
      <c r="I12" s="58"/>
      <c r="J12" s="68"/>
    </row>
    <row r="13" ht="15.75" customHeight="1">
      <c r="A13" s="55" t="s">
        <v>1588</v>
      </c>
      <c r="B13" s="55"/>
      <c r="C13" s="55"/>
      <c r="D13" s="56"/>
      <c r="E13" s="56"/>
      <c r="F13" s="56"/>
      <c r="G13" s="57"/>
      <c r="H13" s="56"/>
      <c r="I13" s="58"/>
      <c r="J13" s="68"/>
    </row>
    <row r="14" ht="15.75" customHeight="1">
      <c r="A14" s="55" t="s">
        <v>1589</v>
      </c>
      <c r="B14" s="55"/>
      <c r="C14" s="55"/>
      <c r="D14" s="56"/>
      <c r="E14" s="56"/>
      <c r="F14" s="56"/>
      <c r="G14" s="57"/>
      <c r="H14" s="56"/>
      <c r="I14" s="58"/>
      <c r="J14" s="68"/>
    </row>
    <row r="15" ht="15.75" customHeight="1">
      <c r="A15" s="55" t="s">
        <v>1590</v>
      </c>
      <c r="B15" s="55"/>
      <c r="C15" s="55"/>
      <c r="D15" s="56"/>
      <c r="E15" s="56"/>
      <c r="F15" s="56"/>
      <c r="G15" s="57"/>
      <c r="H15" s="56"/>
      <c r="I15" s="58"/>
      <c r="J15" s="68"/>
    </row>
    <row r="16" ht="15.75" customHeight="1">
      <c r="A16" s="55" t="s">
        <v>1591</v>
      </c>
      <c r="B16" s="55"/>
      <c r="C16" s="55"/>
      <c r="D16" s="56"/>
      <c r="E16" s="56"/>
      <c r="F16" s="56"/>
      <c r="G16" s="57"/>
      <c r="H16" s="56"/>
      <c r="I16" s="58"/>
      <c r="J16" s="68"/>
    </row>
    <row r="17" ht="15.75" customHeight="1">
      <c r="A17" s="55" t="s">
        <v>1592</v>
      </c>
      <c r="B17" s="55"/>
      <c r="C17" s="55"/>
      <c r="D17" s="56"/>
      <c r="E17" s="56"/>
      <c r="F17" s="56"/>
      <c r="G17" s="57"/>
      <c r="H17" s="56"/>
      <c r="I17" s="58"/>
      <c r="J17" s="68"/>
    </row>
    <row r="18" ht="15.75" customHeight="1">
      <c r="A18" s="55" t="s">
        <v>1593</v>
      </c>
      <c r="B18" s="55"/>
      <c r="C18" s="55"/>
      <c r="D18" s="56"/>
      <c r="E18" s="56"/>
      <c r="F18" s="56"/>
      <c r="G18" s="57"/>
      <c r="H18" s="56"/>
      <c r="I18" s="58"/>
      <c r="J18" s="68"/>
    </row>
    <row r="19" ht="15.75" customHeight="1">
      <c r="A19" s="55" t="s">
        <v>1594</v>
      </c>
      <c r="B19" s="55"/>
      <c r="C19" s="55"/>
      <c r="D19" s="56"/>
      <c r="E19" s="56"/>
      <c r="F19" s="56"/>
      <c r="G19" s="57"/>
      <c r="H19" s="56"/>
      <c r="I19" s="58"/>
      <c r="J19" s="68"/>
    </row>
    <row r="20" ht="15.75" customHeight="1">
      <c r="A20" s="55" t="s">
        <v>1595</v>
      </c>
      <c r="B20" s="55"/>
      <c r="C20" s="55"/>
      <c r="D20" s="56"/>
      <c r="E20" s="56"/>
      <c r="F20" s="56"/>
      <c r="G20" s="57"/>
      <c r="H20" s="56"/>
      <c r="I20" s="58"/>
      <c r="J20" s="68"/>
    </row>
    <row r="21" ht="15.75" customHeight="1">
      <c r="A21" s="55" t="s">
        <v>1596</v>
      </c>
      <c r="B21" s="55"/>
      <c r="C21" s="55"/>
      <c r="D21" s="56"/>
      <c r="E21" s="56"/>
      <c r="F21" s="56"/>
      <c r="G21" s="57"/>
      <c r="H21" s="56"/>
      <c r="I21" s="58"/>
      <c r="J21" s="68"/>
    </row>
    <row r="22" ht="15.75" customHeight="1">
      <c r="A22" s="59" t="s">
        <v>1597</v>
      </c>
      <c r="B22" s="59"/>
      <c r="C22" s="59"/>
      <c r="D22" s="60"/>
      <c r="E22" s="60"/>
      <c r="F22" s="60"/>
      <c r="G22" s="61"/>
      <c r="H22" s="60"/>
      <c r="I22" s="62"/>
      <c r="J22" s="68"/>
    </row>
    <row r="23" ht="15.75" customHeight="1">
      <c r="A23" s="55" t="s">
        <v>1598</v>
      </c>
      <c r="B23" s="55"/>
      <c r="C23" s="55"/>
      <c r="D23" s="56"/>
      <c r="E23" s="56"/>
      <c r="F23" s="56"/>
      <c r="G23" s="57"/>
      <c r="H23" s="56"/>
      <c r="I23" s="58"/>
      <c r="J23" s="68"/>
    </row>
    <row r="24" ht="15.75" customHeight="1">
      <c r="A24" s="55" t="s">
        <v>1599</v>
      </c>
      <c r="B24" s="55"/>
      <c r="C24" s="55"/>
      <c r="D24" s="56"/>
      <c r="E24" s="56"/>
      <c r="F24" s="56"/>
      <c r="G24" s="57"/>
      <c r="H24" s="56"/>
      <c r="I24" s="58"/>
      <c r="J24" s="68"/>
    </row>
    <row r="25" ht="15.75" customHeight="1">
      <c r="A25" s="55" t="s">
        <v>1600</v>
      </c>
      <c r="B25" s="55"/>
      <c r="C25" s="55"/>
      <c r="D25" s="56"/>
      <c r="E25" s="56"/>
      <c r="F25" s="56"/>
      <c r="G25" s="57"/>
      <c r="H25" s="56"/>
      <c r="I25" s="58"/>
      <c r="J25" s="68"/>
    </row>
    <row r="26" ht="15.75" customHeight="1">
      <c r="A26" s="55" t="s">
        <v>1601</v>
      </c>
      <c r="B26" s="55"/>
      <c r="C26" s="55"/>
      <c r="D26" s="56"/>
      <c r="E26" s="56"/>
      <c r="F26" s="56"/>
      <c r="G26" s="57"/>
      <c r="H26" s="56"/>
      <c r="I26" s="58"/>
      <c r="J26" s="55"/>
    </row>
    <row r="27" ht="15.75" customHeight="1">
      <c r="A27" s="55" t="s">
        <v>1602</v>
      </c>
      <c r="B27" s="55"/>
      <c r="C27" s="55"/>
      <c r="D27" s="56"/>
      <c r="E27" s="56"/>
      <c r="F27" s="56"/>
      <c r="G27" s="57"/>
      <c r="H27" s="56"/>
      <c r="I27" s="58"/>
      <c r="J27" s="55"/>
    </row>
    <row r="28" ht="15.75" customHeight="1">
      <c r="A28" s="55" t="s">
        <v>1603</v>
      </c>
      <c r="B28" s="55"/>
      <c r="C28" s="55"/>
      <c r="D28" s="56"/>
      <c r="E28" s="56"/>
      <c r="F28" s="56"/>
      <c r="G28" s="57"/>
      <c r="H28" s="56"/>
      <c r="I28" s="58"/>
    </row>
    <row r="29" ht="15.75" customHeight="1">
      <c r="A29" s="55" t="s">
        <v>1604</v>
      </c>
      <c r="B29" s="55"/>
      <c r="C29" s="55"/>
      <c r="D29" s="56"/>
      <c r="E29" s="56"/>
      <c r="F29" s="56"/>
      <c r="G29" s="57"/>
      <c r="H29" s="56"/>
      <c r="I29" s="58"/>
    </row>
    <row r="30" ht="15.75" customHeight="1">
      <c r="A30" s="55" t="s">
        <v>1605</v>
      </c>
      <c r="B30" s="55"/>
      <c r="C30" s="55"/>
      <c r="D30" s="56"/>
      <c r="E30" s="56"/>
      <c r="F30" s="56"/>
      <c r="G30" s="57"/>
      <c r="H30" s="56"/>
      <c r="I30" s="58"/>
    </row>
    <row r="31" ht="15.75" customHeight="1">
      <c r="A31" s="55" t="s">
        <v>1606</v>
      </c>
      <c r="B31" s="55"/>
      <c r="C31" s="55"/>
      <c r="D31" s="56"/>
      <c r="E31" s="56"/>
      <c r="F31" s="56"/>
      <c r="G31" s="57"/>
      <c r="H31" s="56"/>
      <c r="I31" s="58"/>
    </row>
    <row r="32" ht="15.75" customHeight="1">
      <c r="A32" s="55" t="s">
        <v>1607</v>
      </c>
      <c r="B32" s="55"/>
      <c r="C32" s="55"/>
      <c r="D32" s="56"/>
      <c r="E32" s="56"/>
      <c r="F32" s="56"/>
      <c r="G32" s="57"/>
      <c r="H32" s="56"/>
      <c r="I32" s="58"/>
    </row>
    <row r="33" ht="15.75" customHeight="1">
      <c r="A33" s="55" t="s">
        <v>1608</v>
      </c>
      <c r="B33" s="55"/>
      <c r="C33" s="55"/>
      <c r="D33" s="56"/>
      <c r="E33" s="56"/>
      <c r="F33" s="56"/>
      <c r="G33" s="57"/>
      <c r="H33" s="56"/>
      <c r="I33" s="58"/>
    </row>
    <row r="34" ht="15.75" customHeight="1">
      <c r="A34" s="59" t="s">
        <v>1609</v>
      </c>
      <c r="B34" s="59"/>
      <c r="C34" s="59"/>
      <c r="D34" s="60"/>
      <c r="E34" s="60"/>
      <c r="F34" s="60"/>
      <c r="G34" s="61"/>
      <c r="H34" s="60"/>
      <c r="I34" s="62"/>
    </row>
    <row r="35" ht="15.75" customHeight="1">
      <c r="A35" s="55" t="s">
        <v>1610</v>
      </c>
      <c r="B35" s="55"/>
      <c r="C35" s="55"/>
      <c r="D35" s="56"/>
      <c r="E35" s="56"/>
      <c r="F35" s="56"/>
      <c r="G35" s="57"/>
      <c r="H35" s="56"/>
      <c r="I35" s="58"/>
    </row>
    <row r="36" ht="15.75" customHeight="1">
      <c r="A36" s="55" t="s">
        <v>1611</v>
      </c>
      <c r="B36" s="55"/>
      <c r="C36" s="55"/>
      <c r="D36" s="56"/>
      <c r="E36" s="56"/>
      <c r="F36" s="56"/>
      <c r="G36" s="57"/>
      <c r="H36" s="56"/>
      <c r="I36" s="58"/>
    </row>
    <row r="37" ht="15.75" customHeight="1">
      <c r="A37" s="55" t="s">
        <v>1612</v>
      </c>
      <c r="B37" s="55"/>
      <c r="C37" s="55"/>
      <c r="D37" s="56"/>
      <c r="E37" s="56"/>
      <c r="F37" s="56"/>
      <c r="G37" s="57"/>
      <c r="H37" s="56"/>
      <c r="I37" s="58"/>
    </row>
    <row r="38" ht="15.75" customHeight="1">
      <c r="A38" s="55" t="s">
        <v>1613</v>
      </c>
      <c r="B38" s="55"/>
      <c r="C38" s="55"/>
      <c r="D38" s="56"/>
      <c r="E38" s="56"/>
      <c r="F38" s="56"/>
      <c r="G38" s="57"/>
      <c r="H38" s="56"/>
      <c r="I38" s="58"/>
    </row>
    <row r="39" ht="15.75" customHeight="1">
      <c r="A39" s="55" t="s">
        <v>1614</v>
      </c>
      <c r="B39" s="55"/>
      <c r="C39" s="55"/>
      <c r="D39" s="56"/>
      <c r="E39" s="56"/>
      <c r="F39" s="56"/>
      <c r="G39" s="57"/>
      <c r="H39" s="56"/>
      <c r="I39" s="58"/>
    </row>
    <row r="40" ht="15.75" customHeight="1">
      <c r="A40" s="55" t="s">
        <v>1615</v>
      </c>
      <c r="B40" s="55"/>
      <c r="C40" s="55"/>
      <c r="D40" s="56"/>
      <c r="E40" s="56"/>
      <c r="F40" s="56"/>
      <c r="G40" s="57"/>
      <c r="H40" s="56"/>
      <c r="I40" s="58"/>
    </row>
    <row r="41" ht="15.75" customHeight="1">
      <c r="A41" s="55" t="s">
        <v>1616</v>
      </c>
      <c r="B41" s="55"/>
      <c r="C41" s="55"/>
      <c r="D41" s="56"/>
      <c r="E41" s="56"/>
      <c r="F41" s="56"/>
      <c r="G41" s="57"/>
      <c r="H41" s="56"/>
      <c r="I41" s="58"/>
    </row>
    <row r="42" ht="15.75" customHeight="1">
      <c r="A42" s="55" t="s">
        <v>1617</v>
      </c>
      <c r="B42" s="55"/>
      <c r="C42" s="55"/>
      <c r="D42" s="56"/>
      <c r="E42" s="56"/>
      <c r="F42" s="56"/>
      <c r="G42" s="57"/>
      <c r="H42" s="56"/>
      <c r="I42" s="58"/>
    </row>
    <row r="43" ht="15.75" customHeight="1">
      <c r="A43" s="55" t="s">
        <v>1618</v>
      </c>
      <c r="B43" s="55"/>
      <c r="C43" s="55"/>
      <c r="D43" s="56"/>
      <c r="E43" s="56"/>
      <c r="F43" s="56"/>
      <c r="G43" s="57"/>
      <c r="H43" s="56"/>
      <c r="I43" s="58"/>
    </row>
    <row r="44" ht="15.75" customHeight="1">
      <c r="A44" s="55" t="s">
        <v>1619</v>
      </c>
      <c r="B44" s="55"/>
      <c r="C44" s="55"/>
      <c r="D44" s="56"/>
      <c r="E44" s="56"/>
      <c r="F44" s="56"/>
      <c r="G44" s="57"/>
      <c r="H44" s="56"/>
      <c r="I44" s="58"/>
    </row>
    <row r="45" ht="15.75" customHeight="1">
      <c r="A45" s="59" t="s">
        <v>1620</v>
      </c>
      <c r="B45" s="59"/>
      <c r="C45" s="59"/>
      <c r="D45" s="60"/>
      <c r="E45" s="60"/>
      <c r="F45" s="60"/>
      <c r="G45" s="61"/>
      <c r="H45" s="60"/>
      <c r="I45" s="62"/>
    </row>
    <row r="46" ht="15.75" customHeight="1">
      <c r="A46" s="55" t="s">
        <v>1621</v>
      </c>
      <c r="B46" s="55"/>
      <c r="C46" s="55"/>
      <c r="D46" s="56"/>
      <c r="E46" s="56"/>
      <c r="F46" s="56"/>
      <c r="G46" s="57"/>
      <c r="H46" s="56"/>
      <c r="I46" s="58"/>
    </row>
    <row r="47" ht="15.75" customHeight="1">
      <c r="A47" s="55" t="s">
        <v>1622</v>
      </c>
      <c r="B47" s="55"/>
      <c r="C47" s="55"/>
      <c r="D47" s="56"/>
      <c r="E47" s="56"/>
      <c r="F47" s="56"/>
      <c r="G47" s="57"/>
      <c r="H47" s="56"/>
      <c r="I47" s="58"/>
    </row>
    <row r="48" ht="15.75" customHeight="1">
      <c r="A48" s="55" t="s">
        <v>1623</v>
      </c>
      <c r="B48" s="55"/>
      <c r="C48" s="55"/>
      <c r="D48" s="56"/>
      <c r="E48" s="56"/>
      <c r="F48" s="56"/>
      <c r="G48" s="57"/>
      <c r="H48" s="56"/>
      <c r="I48" s="58"/>
    </row>
    <row r="49" ht="15.75" customHeight="1">
      <c r="A49" s="55" t="s">
        <v>1624</v>
      </c>
      <c r="B49" s="55"/>
      <c r="C49" s="55"/>
      <c r="D49" s="56"/>
      <c r="E49" s="56"/>
      <c r="F49" s="56"/>
      <c r="G49" s="57"/>
      <c r="H49" s="56"/>
      <c r="I49" s="58"/>
    </row>
    <row r="50" ht="15.75" customHeight="1">
      <c r="A50" s="55" t="s">
        <v>1625</v>
      </c>
      <c r="B50" s="55"/>
      <c r="C50" s="55"/>
      <c r="D50" s="56"/>
      <c r="E50" s="56"/>
      <c r="F50" s="56"/>
      <c r="G50" s="57"/>
      <c r="H50" s="56"/>
      <c r="I50" s="58"/>
    </row>
    <row r="51" ht="15.75" customHeight="1">
      <c r="A51" s="55" t="s">
        <v>1626</v>
      </c>
      <c r="B51" s="55"/>
      <c r="C51" s="55"/>
      <c r="D51" s="56"/>
      <c r="E51" s="56"/>
      <c r="F51" s="56"/>
      <c r="G51" s="57"/>
      <c r="H51" s="56"/>
      <c r="I51" s="58"/>
    </row>
    <row r="52" ht="15.75" customHeight="1">
      <c r="A52" s="55" t="s">
        <v>1627</v>
      </c>
      <c r="B52" s="55"/>
      <c r="C52" s="55"/>
      <c r="D52" s="56"/>
      <c r="E52" s="56"/>
      <c r="F52" s="56"/>
      <c r="G52" s="57"/>
      <c r="H52" s="56"/>
      <c r="I52" s="58"/>
    </row>
    <row r="53" ht="15.75" customHeight="1">
      <c r="A53" s="55" t="s">
        <v>1628</v>
      </c>
      <c r="B53" s="55"/>
      <c r="C53" s="55"/>
      <c r="D53" s="56"/>
      <c r="E53" s="56"/>
      <c r="F53" s="56"/>
      <c r="G53" s="57"/>
      <c r="H53" s="56"/>
      <c r="I53" s="58"/>
    </row>
    <row r="54" ht="15.75" customHeight="1">
      <c r="A54" s="59" t="s">
        <v>1629</v>
      </c>
      <c r="B54" s="59"/>
      <c r="C54" s="59"/>
      <c r="D54" s="60"/>
      <c r="E54" s="60"/>
      <c r="F54" s="60"/>
      <c r="G54" s="61"/>
      <c r="H54" s="60"/>
      <c r="I54" s="62"/>
    </row>
    <row r="55" ht="15.75" customHeight="1">
      <c r="A55" s="55" t="s">
        <v>1630</v>
      </c>
      <c r="B55" s="55"/>
      <c r="C55" s="55"/>
      <c r="D55" s="56"/>
      <c r="E55" s="56"/>
      <c r="F55" s="56"/>
      <c r="G55" s="57"/>
      <c r="H55" s="56"/>
      <c r="I55" s="58"/>
    </row>
    <row r="56" ht="15.75" customHeight="1">
      <c r="A56" s="55" t="s">
        <v>1631</v>
      </c>
      <c r="B56" s="55"/>
      <c r="C56" s="55"/>
      <c r="D56" s="56"/>
      <c r="E56" s="56"/>
      <c r="F56" s="56"/>
      <c r="G56" s="57"/>
      <c r="H56" s="56"/>
      <c r="I56" s="58"/>
    </row>
    <row r="57" ht="15.75" customHeight="1">
      <c r="A57" s="55" t="s">
        <v>1632</v>
      </c>
      <c r="B57" s="55"/>
      <c r="C57" s="55"/>
      <c r="D57" s="56"/>
      <c r="E57" s="56"/>
      <c r="F57" s="56"/>
      <c r="G57" s="57"/>
      <c r="H57" s="56"/>
      <c r="I57" s="58"/>
    </row>
    <row r="58" ht="15.75" customHeight="1">
      <c r="A58" s="55" t="s">
        <v>1633</v>
      </c>
      <c r="B58" s="55"/>
      <c r="C58" s="55"/>
      <c r="D58" s="56"/>
      <c r="E58" s="56"/>
      <c r="F58" s="56"/>
      <c r="G58" s="57"/>
      <c r="H58" s="56"/>
      <c r="I58" s="58"/>
    </row>
    <row r="59" ht="15.75" customHeight="1">
      <c r="A59" s="55" t="s">
        <v>1634</v>
      </c>
      <c r="B59" s="55"/>
      <c r="C59" s="55"/>
      <c r="D59" s="56"/>
      <c r="E59" s="56"/>
      <c r="F59" s="56"/>
      <c r="G59" s="57"/>
      <c r="H59" s="56"/>
      <c r="I59" s="58"/>
    </row>
    <row r="60" ht="15.75" customHeight="1">
      <c r="A60" s="55" t="s">
        <v>1635</v>
      </c>
      <c r="B60" s="55"/>
      <c r="C60" s="55"/>
      <c r="D60" s="56"/>
      <c r="E60" s="56"/>
      <c r="F60" s="56"/>
      <c r="G60" s="57"/>
      <c r="H60" s="56"/>
      <c r="I60" s="58"/>
    </row>
    <row r="61" ht="15.75" customHeight="1">
      <c r="A61" s="55" t="s">
        <v>1636</v>
      </c>
      <c r="B61" s="55"/>
      <c r="C61" s="55"/>
      <c r="D61" s="56"/>
      <c r="E61" s="56"/>
      <c r="F61" s="56"/>
      <c r="G61" s="57"/>
      <c r="H61" s="56"/>
      <c r="I61" s="58"/>
    </row>
    <row r="62" ht="15.75" customHeight="1">
      <c r="A62" s="59" t="s">
        <v>1637</v>
      </c>
      <c r="B62" s="59"/>
      <c r="C62" s="59"/>
      <c r="D62" s="60"/>
      <c r="E62" s="60"/>
      <c r="F62" s="60"/>
      <c r="G62" s="61"/>
      <c r="H62" s="60"/>
      <c r="I62" s="62"/>
    </row>
    <row r="63" ht="15.75" customHeight="1">
      <c r="A63" s="55" t="s">
        <v>1638</v>
      </c>
      <c r="B63" s="55"/>
      <c r="C63" s="55"/>
      <c r="D63" s="56"/>
      <c r="E63" s="56"/>
      <c r="F63" s="56"/>
      <c r="G63" s="57"/>
      <c r="H63" s="56"/>
      <c r="I63" s="58"/>
    </row>
    <row r="64" ht="15.75" customHeight="1">
      <c r="A64" s="55" t="s">
        <v>1639</v>
      </c>
      <c r="B64" s="55"/>
      <c r="C64" s="55"/>
      <c r="D64" s="56"/>
      <c r="E64" s="56"/>
      <c r="F64" s="56"/>
      <c r="G64" s="57"/>
      <c r="H64" s="56"/>
      <c r="I64" s="58"/>
    </row>
    <row r="65" ht="15.75" customHeight="1">
      <c r="A65" s="55" t="s">
        <v>1640</v>
      </c>
      <c r="B65" s="55"/>
      <c r="C65" s="55"/>
      <c r="D65" s="56"/>
      <c r="E65" s="56"/>
      <c r="F65" s="56"/>
      <c r="G65" s="57"/>
      <c r="H65" s="56"/>
      <c r="I65" s="58"/>
    </row>
    <row r="66" ht="15.75" customHeight="1">
      <c r="A66" s="55" t="s">
        <v>1641</v>
      </c>
      <c r="B66" s="55"/>
      <c r="C66" s="55"/>
      <c r="D66" s="56"/>
      <c r="E66" s="56"/>
      <c r="F66" s="56"/>
      <c r="G66" s="57"/>
      <c r="H66" s="56"/>
      <c r="I66" s="58"/>
    </row>
    <row r="67" ht="15.75" customHeight="1">
      <c r="A67" s="55" t="s">
        <v>1642</v>
      </c>
      <c r="B67" s="55"/>
      <c r="C67" s="55"/>
      <c r="D67" s="56"/>
      <c r="E67" s="56"/>
      <c r="F67" s="56"/>
      <c r="G67" s="57"/>
      <c r="H67" s="56"/>
      <c r="I67" s="58"/>
    </row>
    <row r="68" ht="15.75" customHeight="1">
      <c r="A68" s="55" t="s">
        <v>1643</v>
      </c>
      <c r="B68" s="55"/>
      <c r="C68" s="55"/>
      <c r="D68" s="56"/>
      <c r="E68" s="56"/>
      <c r="F68" s="56"/>
      <c r="G68" s="57"/>
      <c r="H68" s="56"/>
      <c r="I68" s="58"/>
    </row>
    <row r="69" ht="15.75" customHeight="1">
      <c r="A69" s="55" t="s">
        <v>1644</v>
      </c>
      <c r="B69" s="55"/>
      <c r="C69" s="55"/>
      <c r="D69" s="56"/>
      <c r="E69" s="56"/>
      <c r="F69" s="56"/>
      <c r="G69" s="57"/>
      <c r="H69" s="56"/>
      <c r="I69" s="58"/>
    </row>
    <row r="70" ht="15.75" customHeight="1">
      <c r="A70" s="55" t="s">
        <v>1645</v>
      </c>
      <c r="B70" s="55"/>
      <c r="C70" s="55"/>
      <c r="D70" s="56"/>
      <c r="E70" s="56"/>
      <c r="F70" s="56"/>
      <c r="G70" s="57"/>
      <c r="H70" s="56"/>
      <c r="I70" s="58"/>
    </row>
    <row r="71" ht="15.75" customHeight="1">
      <c r="A71" s="55" t="s">
        <v>1646</v>
      </c>
      <c r="B71" s="55"/>
      <c r="C71" s="55"/>
      <c r="D71" s="56"/>
      <c r="E71" s="56"/>
      <c r="F71" s="56"/>
      <c r="G71" s="57"/>
      <c r="H71" s="56"/>
      <c r="I71" s="58"/>
    </row>
    <row r="72" ht="15.75" customHeight="1">
      <c r="A72" s="59" t="s">
        <v>1647</v>
      </c>
      <c r="B72" s="59"/>
      <c r="C72" s="59"/>
      <c r="D72" s="60"/>
      <c r="E72" s="60"/>
      <c r="F72" s="60"/>
      <c r="G72" s="61"/>
      <c r="H72" s="60"/>
      <c r="I72" s="62"/>
    </row>
    <row r="73" ht="15.75" customHeight="1">
      <c r="A73" s="55" t="s">
        <v>1648</v>
      </c>
      <c r="B73" s="55"/>
      <c r="C73" s="55"/>
      <c r="D73" s="56"/>
      <c r="E73" s="56"/>
      <c r="F73" s="56"/>
      <c r="G73" s="57"/>
      <c r="H73" s="56"/>
      <c r="I73" s="58"/>
    </row>
    <row r="74" ht="15.75" customHeight="1">
      <c r="A74" s="55" t="s">
        <v>1649</v>
      </c>
      <c r="B74" s="55"/>
      <c r="C74" s="55"/>
      <c r="D74" s="56"/>
      <c r="E74" s="56"/>
      <c r="F74" s="56"/>
      <c r="G74" s="57"/>
      <c r="H74" s="56"/>
      <c r="I74" s="58"/>
    </row>
    <row r="75" ht="15.75" customHeight="1">
      <c r="A75" s="55" t="s">
        <v>1650</v>
      </c>
      <c r="B75" s="55"/>
      <c r="C75" s="55"/>
      <c r="D75" s="56"/>
      <c r="E75" s="56"/>
      <c r="F75" s="56"/>
      <c r="G75" s="57"/>
      <c r="H75" s="56"/>
      <c r="I75" s="58"/>
    </row>
    <row r="76" ht="15.75" customHeight="1">
      <c r="A76" s="55" t="s">
        <v>1651</v>
      </c>
      <c r="B76" s="55"/>
      <c r="C76" s="55"/>
      <c r="D76" s="56"/>
      <c r="E76" s="56"/>
      <c r="F76" s="56"/>
      <c r="G76" s="57"/>
      <c r="H76" s="56"/>
      <c r="I76" s="58"/>
    </row>
    <row r="77" ht="15.75" customHeight="1">
      <c r="A77" s="55" t="s">
        <v>1652</v>
      </c>
      <c r="B77" s="55"/>
      <c r="C77" s="55"/>
      <c r="D77" s="56"/>
      <c r="E77" s="56"/>
      <c r="F77" s="56"/>
      <c r="G77" s="57"/>
      <c r="H77" s="56"/>
      <c r="I77" s="58"/>
    </row>
    <row r="78" ht="15.75" customHeight="1">
      <c r="A78" s="37" t="str">
        <f t="shared" ref="A78:A87" si="1">HYPERLINK("https://drive.google.com/drive/folders/1qJwtAODBqYJ455tKnPiieZ6ygSJfRGxc", "03 - MAR - 26 / 31/03 - TER")</f>
        <v>03 - MAR - 26 / 31/03 - TER</v>
      </c>
      <c r="B78" s="59" t="s">
        <v>1653</v>
      </c>
      <c r="C78" s="59" t="s">
        <v>86</v>
      </c>
      <c r="D78" s="60" t="s">
        <v>378</v>
      </c>
      <c r="E78" s="60" t="s">
        <v>378</v>
      </c>
      <c r="F78" s="60"/>
      <c r="G78" s="61" t="s">
        <v>1654</v>
      </c>
      <c r="H78" s="63" t="s">
        <v>1655</v>
      </c>
      <c r="I78" s="62">
        <v>46111.0</v>
      </c>
    </row>
    <row r="79" ht="15.75" customHeight="1">
      <c r="A79" s="29" t="str">
        <f t="shared" si="1"/>
        <v>03 - MAR - 26 / 31/03 - TER</v>
      </c>
      <c r="B79" s="55" t="s">
        <v>1656</v>
      </c>
      <c r="C79" s="55" t="s">
        <v>86</v>
      </c>
      <c r="D79" s="56" t="s">
        <v>378</v>
      </c>
      <c r="E79" s="56" t="s">
        <v>378</v>
      </c>
      <c r="F79" s="56"/>
      <c r="G79" s="57" t="s">
        <v>1657</v>
      </c>
      <c r="H79" s="64" t="s">
        <v>1658</v>
      </c>
      <c r="I79" s="58">
        <v>46111.0</v>
      </c>
    </row>
    <row r="80" ht="15.75" customHeight="1">
      <c r="A80" s="29" t="str">
        <f t="shared" si="1"/>
        <v>03 - MAR - 26 / 31/03 - TER</v>
      </c>
      <c r="B80" s="55" t="s">
        <v>1659</v>
      </c>
      <c r="C80" s="55" t="s">
        <v>86</v>
      </c>
      <c r="D80" s="56" t="s">
        <v>378</v>
      </c>
      <c r="E80" s="56" t="s">
        <v>378</v>
      </c>
      <c r="F80" s="56"/>
      <c r="G80" s="57" t="s">
        <v>1660</v>
      </c>
      <c r="H80" s="64" t="s">
        <v>1661</v>
      </c>
      <c r="I80" s="58">
        <v>46111.0</v>
      </c>
    </row>
    <row r="81" ht="15.75" customHeight="1">
      <c r="A81" s="29" t="str">
        <f t="shared" si="1"/>
        <v>03 - MAR - 26 / 31/03 - TER</v>
      </c>
      <c r="B81" s="55" t="s">
        <v>1662</v>
      </c>
      <c r="C81" s="55" t="s">
        <v>86</v>
      </c>
      <c r="D81" s="56" t="s">
        <v>378</v>
      </c>
      <c r="E81" s="56" t="s">
        <v>378</v>
      </c>
      <c r="F81" s="56"/>
      <c r="G81" s="57" t="s">
        <v>1663</v>
      </c>
      <c r="H81" s="64" t="s">
        <v>1664</v>
      </c>
      <c r="I81" s="58">
        <v>46111.0</v>
      </c>
    </row>
    <row r="82" ht="15.75" customHeight="1">
      <c r="A82" s="29" t="str">
        <f t="shared" si="1"/>
        <v>03 - MAR - 26 / 31/03 - TER</v>
      </c>
      <c r="B82" s="55" t="s">
        <v>1665</v>
      </c>
      <c r="C82" s="55" t="s">
        <v>602</v>
      </c>
      <c r="D82" s="56" t="s">
        <v>378</v>
      </c>
      <c r="E82" s="56" t="s">
        <v>378</v>
      </c>
      <c r="F82" s="56"/>
      <c r="G82" s="57" t="s">
        <v>1666</v>
      </c>
      <c r="H82" s="64" t="s">
        <v>1667</v>
      </c>
      <c r="I82" s="58">
        <v>46111.0</v>
      </c>
    </row>
    <row r="83" ht="15.75" customHeight="1">
      <c r="A83" s="29" t="str">
        <f t="shared" si="1"/>
        <v>03 - MAR - 26 / 31/03 - TER</v>
      </c>
      <c r="B83" s="55" t="s">
        <v>1668</v>
      </c>
      <c r="C83" s="55" t="s">
        <v>602</v>
      </c>
      <c r="D83" s="56" t="s">
        <v>378</v>
      </c>
      <c r="E83" s="56" t="s">
        <v>378</v>
      </c>
      <c r="F83" s="56"/>
      <c r="G83" s="57" t="s">
        <v>1669</v>
      </c>
      <c r="H83" s="64" t="s">
        <v>1670</v>
      </c>
      <c r="I83" s="58">
        <v>46111.0</v>
      </c>
    </row>
    <row r="84" ht="15.75" customHeight="1">
      <c r="A84" s="29" t="str">
        <f t="shared" si="1"/>
        <v>03 - MAR - 26 / 31/03 - TER</v>
      </c>
      <c r="B84" s="55" t="s">
        <v>1671</v>
      </c>
      <c r="C84" s="55" t="s">
        <v>602</v>
      </c>
      <c r="D84" s="56" t="s">
        <v>378</v>
      </c>
      <c r="E84" s="56" t="s">
        <v>378</v>
      </c>
      <c r="F84" s="56"/>
      <c r="G84" s="57" t="s">
        <v>1672</v>
      </c>
      <c r="H84" s="64" t="s">
        <v>1673</v>
      </c>
      <c r="I84" s="58">
        <v>46111.0</v>
      </c>
    </row>
    <row r="85" ht="15.75" customHeight="1">
      <c r="A85" s="29" t="str">
        <f t="shared" si="1"/>
        <v>03 - MAR - 26 / 31/03 - TER</v>
      </c>
      <c r="B85" s="55" t="s">
        <v>1674</v>
      </c>
      <c r="C85" s="55" t="s">
        <v>602</v>
      </c>
      <c r="D85" s="56" t="s">
        <v>378</v>
      </c>
      <c r="E85" s="56" t="s">
        <v>378</v>
      </c>
      <c r="F85" s="56"/>
      <c r="G85" s="57" t="s">
        <v>1675</v>
      </c>
      <c r="H85" s="64" t="s">
        <v>1676</v>
      </c>
      <c r="I85" s="58">
        <v>46111.0</v>
      </c>
    </row>
    <row r="86" ht="15.75" customHeight="1">
      <c r="A86" s="29" t="str">
        <f t="shared" si="1"/>
        <v>03 - MAR - 26 / 31/03 - TER</v>
      </c>
      <c r="B86" s="55" t="s">
        <v>1677</v>
      </c>
      <c r="C86" s="55" t="s">
        <v>602</v>
      </c>
      <c r="D86" s="56" t="s">
        <v>378</v>
      </c>
      <c r="E86" s="56" t="s">
        <v>378</v>
      </c>
      <c r="F86" s="56"/>
      <c r="G86" s="57" t="s">
        <v>1678</v>
      </c>
      <c r="H86" s="64" t="s">
        <v>1679</v>
      </c>
      <c r="I86" s="58">
        <v>46111.0</v>
      </c>
    </row>
    <row r="87" ht="15.75" customHeight="1">
      <c r="A87" s="29" t="str">
        <f t="shared" si="1"/>
        <v>03 - MAR - 26 / 31/03 - TER</v>
      </c>
      <c r="B87" s="55" t="s">
        <v>1680</v>
      </c>
      <c r="C87" s="55" t="s">
        <v>602</v>
      </c>
      <c r="D87" s="56" t="s">
        <v>378</v>
      </c>
      <c r="E87" s="56" t="s">
        <v>378</v>
      </c>
      <c r="F87" s="56"/>
      <c r="G87" s="57" t="s">
        <v>1681</v>
      </c>
      <c r="H87" s="64" t="s">
        <v>1682</v>
      </c>
      <c r="I87" s="58">
        <v>46111.0</v>
      </c>
    </row>
    <row r="88" ht="15.75" customHeight="1">
      <c r="A88" s="37" t="str">
        <f t="shared" ref="A88:A97" si="2">HYPERLINK("https://drive.google.com/drive/folders/1GsABUbzxkmJb2QWkclyOJoid7M2-CDdU", "03 - MAR - 26 / 30/03 - SEG")</f>
        <v>03 - MAR - 26 / 30/03 - SEG</v>
      </c>
      <c r="B88" s="59" t="s">
        <v>1683</v>
      </c>
      <c r="C88" s="59" t="s">
        <v>602</v>
      </c>
      <c r="D88" s="60" t="s">
        <v>378</v>
      </c>
      <c r="E88" s="60" t="s">
        <v>378</v>
      </c>
      <c r="F88" s="60"/>
      <c r="G88" s="61" t="s">
        <v>1684</v>
      </c>
      <c r="H88" s="63" t="s">
        <v>1685</v>
      </c>
      <c r="I88" s="62">
        <v>46111.0</v>
      </c>
    </row>
    <row r="89" ht="15.75" customHeight="1">
      <c r="A89" s="29" t="str">
        <f t="shared" si="2"/>
        <v>03 - MAR - 26 / 30/03 - SEG</v>
      </c>
      <c r="B89" s="55" t="s">
        <v>1686</v>
      </c>
      <c r="C89" s="55" t="s">
        <v>602</v>
      </c>
      <c r="D89" s="56" t="s">
        <v>378</v>
      </c>
      <c r="E89" s="56" t="s">
        <v>378</v>
      </c>
      <c r="F89" s="56"/>
      <c r="G89" s="57" t="s">
        <v>1687</v>
      </c>
      <c r="H89" s="64" t="s">
        <v>1688</v>
      </c>
      <c r="I89" s="58">
        <v>46111.0</v>
      </c>
    </row>
    <row r="90" ht="15.75" customHeight="1">
      <c r="A90" s="29" t="str">
        <f t="shared" si="2"/>
        <v>03 - MAR - 26 / 30/03 - SEG</v>
      </c>
      <c r="B90" s="55" t="s">
        <v>1689</v>
      </c>
      <c r="C90" s="55" t="s">
        <v>602</v>
      </c>
      <c r="D90" s="56" t="s">
        <v>378</v>
      </c>
      <c r="E90" s="56" t="s">
        <v>378</v>
      </c>
      <c r="F90" s="56"/>
      <c r="G90" s="57" t="s">
        <v>1690</v>
      </c>
      <c r="H90" s="64" t="s">
        <v>1691</v>
      </c>
      <c r="I90" s="58">
        <v>46111.0</v>
      </c>
    </row>
    <row r="91" ht="15.75" customHeight="1">
      <c r="A91" s="29" t="str">
        <f t="shared" si="2"/>
        <v>03 - MAR - 26 / 30/03 - SEG</v>
      </c>
      <c r="B91" s="55" t="s">
        <v>1692</v>
      </c>
      <c r="C91" s="55" t="s">
        <v>602</v>
      </c>
      <c r="D91" s="56" t="s">
        <v>378</v>
      </c>
      <c r="E91" s="56" t="s">
        <v>378</v>
      </c>
      <c r="F91" s="56"/>
      <c r="G91" s="57" t="s">
        <v>1693</v>
      </c>
      <c r="H91" s="64" t="s">
        <v>1694</v>
      </c>
      <c r="I91" s="58">
        <v>46111.0</v>
      </c>
    </row>
    <row r="92" ht="15.75" customHeight="1">
      <c r="A92" s="29" t="str">
        <f t="shared" si="2"/>
        <v>03 - MAR - 26 / 30/03 - SEG</v>
      </c>
      <c r="B92" s="55" t="s">
        <v>1695</v>
      </c>
      <c r="C92" s="55" t="s">
        <v>602</v>
      </c>
      <c r="D92" s="56" t="s">
        <v>378</v>
      </c>
      <c r="E92" s="56" t="s">
        <v>378</v>
      </c>
      <c r="F92" s="56"/>
      <c r="G92" s="57" t="s">
        <v>1696</v>
      </c>
      <c r="H92" s="64" t="s">
        <v>1697</v>
      </c>
      <c r="I92" s="58">
        <v>46111.0</v>
      </c>
    </row>
    <row r="93" ht="15.75" customHeight="1">
      <c r="A93" s="29" t="str">
        <f t="shared" si="2"/>
        <v>03 - MAR - 26 / 30/03 - SEG</v>
      </c>
      <c r="B93" s="55" t="s">
        <v>1698</v>
      </c>
      <c r="C93" s="55" t="s">
        <v>602</v>
      </c>
      <c r="D93" s="56" t="s">
        <v>378</v>
      </c>
      <c r="E93" s="56" t="s">
        <v>378</v>
      </c>
      <c r="F93" s="56"/>
      <c r="G93" s="57" t="s">
        <v>1699</v>
      </c>
      <c r="H93" s="64" t="s">
        <v>1700</v>
      </c>
      <c r="I93" s="58">
        <v>46111.0</v>
      </c>
    </row>
    <row r="94" ht="15.75" customHeight="1">
      <c r="A94" s="29" t="str">
        <f t="shared" si="2"/>
        <v>03 - MAR - 26 / 30/03 - SEG</v>
      </c>
      <c r="B94" s="55" t="s">
        <v>1701</v>
      </c>
      <c r="C94" s="55" t="s">
        <v>602</v>
      </c>
      <c r="D94" s="56" t="s">
        <v>378</v>
      </c>
      <c r="E94" s="56" t="s">
        <v>378</v>
      </c>
      <c r="F94" s="56"/>
      <c r="G94" s="57" t="s">
        <v>1702</v>
      </c>
      <c r="H94" s="64" t="s">
        <v>1703</v>
      </c>
      <c r="I94" s="58">
        <v>46111.0</v>
      </c>
    </row>
    <row r="95" ht="15.75" customHeight="1">
      <c r="A95" s="29" t="str">
        <f t="shared" si="2"/>
        <v>03 - MAR - 26 / 30/03 - SEG</v>
      </c>
      <c r="B95" s="55" t="s">
        <v>1704</v>
      </c>
      <c r="C95" s="55" t="s">
        <v>602</v>
      </c>
      <c r="D95" s="56" t="s">
        <v>378</v>
      </c>
      <c r="E95" s="56" t="s">
        <v>378</v>
      </c>
      <c r="F95" s="56"/>
      <c r="G95" s="57" t="s">
        <v>1705</v>
      </c>
      <c r="H95" s="64" t="s">
        <v>1706</v>
      </c>
      <c r="I95" s="58">
        <v>46111.0</v>
      </c>
    </row>
    <row r="96" ht="15.75" customHeight="1">
      <c r="A96" s="29" t="str">
        <f t="shared" si="2"/>
        <v>03 - MAR - 26 / 30/03 - SEG</v>
      </c>
      <c r="B96" s="55" t="s">
        <v>1707</v>
      </c>
      <c r="C96" s="55" t="s">
        <v>602</v>
      </c>
      <c r="D96" s="56" t="s">
        <v>378</v>
      </c>
      <c r="E96" s="56" t="s">
        <v>378</v>
      </c>
      <c r="F96" s="56"/>
      <c r="G96" s="57" t="s">
        <v>1708</v>
      </c>
      <c r="H96" s="64" t="s">
        <v>1709</v>
      </c>
      <c r="I96" s="58">
        <v>46111.0</v>
      </c>
    </row>
    <row r="97" ht="15.75" customHeight="1">
      <c r="A97" s="29" t="str">
        <f t="shared" si="2"/>
        <v>03 - MAR - 26 / 30/03 - SEG</v>
      </c>
      <c r="B97" s="55" t="s">
        <v>1710</v>
      </c>
      <c r="C97" s="55" t="s">
        <v>602</v>
      </c>
      <c r="D97" s="56" t="s">
        <v>378</v>
      </c>
      <c r="E97" s="56" t="s">
        <v>378</v>
      </c>
      <c r="F97" s="56"/>
      <c r="G97" s="57" t="s">
        <v>1711</v>
      </c>
      <c r="H97" s="64" t="s">
        <v>1712</v>
      </c>
      <c r="I97" s="58">
        <v>46111.0</v>
      </c>
    </row>
    <row r="98" ht="15.75" customHeight="1">
      <c r="A98" s="37" t="str">
        <f t="shared" ref="A98:A107" si="3">HYPERLINK("https://drive.google.com/drive/folders/16l0Yjw8ejQAC7ma-u4PuJRgw1_pkUWMj", "03 - MAR - 26 / 27/03 - SEX")</f>
        <v>03 - MAR - 26 / 27/03 - SEX</v>
      </c>
      <c r="B98" s="59" t="s">
        <v>1713</v>
      </c>
      <c r="C98" s="59" t="s">
        <v>86</v>
      </c>
      <c r="D98" s="60" t="s">
        <v>378</v>
      </c>
      <c r="E98" s="60" t="s">
        <v>378</v>
      </c>
      <c r="F98" s="60"/>
      <c r="G98" s="61" t="s">
        <v>1714</v>
      </c>
      <c r="H98" s="63" t="s">
        <v>1715</v>
      </c>
      <c r="I98" s="62">
        <v>46107.0</v>
      </c>
    </row>
    <row r="99" ht="15.75" customHeight="1">
      <c r="A99" s="29" t="str">
        <f t="shared" si="3"/>
        <v>03 - MAR - 26 / 27/03 - SEX</v>
      </c>
      <c r="B99" s="55" t="s">
        <v>1716</v>
      </c>
      <c r="C99" s="55" t="s">
        <v>86</v>
      </c>
      <c r="D99" s="56" t="s">
        <v>378</v>
      </c>
      <c r="E99" s="56" t="s">
        <v>378</v>
      </c>
      <c r="F99" s="56"/>
      <c r="G99" s="57" t="s">
        <v>1717</v>
      </c>
      <c r="H99" s="64" t="s">
        <v>1718</v>
      </c>
      <c r="I99" s="58">
        <v>46107.0</v>
      </c>
    </row>
    <row r="100" ht="15.75" customHeight="1">
      <c r="A100" s="29" t="str">
        <f t="shared" si="3"/>
        <v>03 - MAR - 26 / 27/03 - SEX</v>
      </c>
      <c r="B100" s="55" t="s">
        <v>1719</v>
      </c>
      <c r="C100" s="55" t="s">
        <v>86</v>
      </c>
      <c r="D100" s="56" t="s">
        <v>378</v>
      </c>
      <c r="E100" s="56" t="s">
        <v>378</v>
      </c>
      <c r="F100" s="56"/>
      <c r="G100" s="57" t="s">
        <v>1720</v>
      </c>
      <c r="H100" s="64" t="s">
        <v>1721</v>
      </c>
      <c r="I100" s="58">
        <v>46107.0</v>
      </c>
    </row>
    <row r="101" ht="15.75" customHeight="1">
      <c r="A101" s="29" t="str">
        <f t="shared" si="3"/>
        <v>03 - MAR - 26 / 27/03 - SEX</v>
      </c>
      <c r="B101" s="55" t="s">
        <v>1722</v>
      </c>
      <c r="C101" s="55" t="s">
        <v>86</v>
      </c>
      <c r="D101" s="56" t="s">
        <v>378</v>
      </c>
      <c r="E101" s="56" t="s">
        <v>378</v>
      </c>
      <c r="F101" s="56"/>
      <c r="G101" s="57" t="s">
        <v>1723</v>
      </c>
      <c r="H101" s="64" t="s">
        <v>1724</v>
      </c>
      <c r="I101" s="58">
        <v>46107.0</v>
      </c>
    </row>
    <row r="102" ht="15.75" customHeight="1">
      <c r="A102" s="29" t="str">
        <f t="shared" si="3"/>
        <v>03 - MAR - 26 / 27/03 - SEX</v>
      </c>
      <c r="B102" s="55" t="s">
        <v>1725</v>
      </c>
      <c r="C102" s="55" t="s">
        <v>86</v>
      </c>
      <c r="D102" s="56" t="s">
        <v>378</v>
      </c>
      <c r="E102" s="56" t="s">
        <v>378</v>
      </c>
      <c r="F102" s="56"/>
      <c r="G102" s="57" t="s">
        <v>1726</v>
      </c>
      <c r="H102" s="64" t="s">
        <v>1727</v>
      </c>
      <c r="I102" s="58">
        <v>46107.0</v>
      </c>
    </row>
    <row r="103" ht="15.75" customHeight="1">
      <c r="A103" s="29" t="str">
        <f t="shared" si="3"/>
        <v>03 - MAR - 26 / 27/03 - SEX</v>
      </c>
      <c r="B103" s="55" t="s">
        <v>1728</v>
      </c>
      <c r="C103" s="55" t="s">
        <v>86</v>
      </c>
      <c r="D103" s="56" t="s">
        <v>378</v>
      </c>
      <c r="E103" s="56" t="s">
        <v>378</v>
      </c>
      <c r="F103" s="56"/>
      <c r="G103" s="57" t="s">
        <v>1729</v>
      </c>
      <c r="H103" s="64" t="s">
        <v>1730</v>
      </c>
      <c r="I103" s="58">
        <v>46107.0</v>
      </c>
    </row>
    <row r="104" ht="15.75" customHeight="1">
      <c r="A104" s="29" t="str">
        <f t="shared" si="3"/>
        <v>03 - MAR - 26 / 27/03 - SEX</v>
      </c>
      <c r="B104" s="55" t="s">
        <v>1731</v>
      </c>
      <c r="C104" s="55" t="s">
        <v>86</v>
      </c>
      <c r="D104" s="56" t="s">
        <v>378</v>
      </c>
      <c r="E104" s="56" t="s">
        <v>378</v>
      </c>
      <c r="F104" s="56"/>
      <c r="G104" s="57" t="s">
        <v>1732</v>
      </c>
      <c r="H104" s="64" t="s">
        <v>1733</v>
      </c>
      <c r="I104" s="58">
        <v>46107.0</v>
      </c>
    </row>
    <row r="105" ht="15.75" customHeight="1">
      <c r="A105" s="29" t="str">
        <f t="shared" si="3"/>
        <v>03 - MAR - 26 / 27/03 - SEX</v>
      </c>
      <c r="B105" s="55" t="s">
        <v>1734</v>
      </c>
      <c r="C105" s="55" t="s">
        <v>86</v>
      </c>
      <c r="D105" s="56" t="s">
        <v>378</v>
      </c>
      <c r="E105" s="56" t="s">
        <v>378</v>
      </c>
      <c r="F105" s="56"/>
      <c r="G105" s="57" t="s">
        <v>1735</v>
      </c>
      <c r="H105" s="64" t="s">
        <v>1736</v>
      </c>
      <c r="I105" s="58">
        <v>46107.0</v>
      </c>
    </row>
    <row r="106" ht="15.75" customHeight="1">
      <c r="A106" s="29" t="str">
        <f t="shared" si="3"/>
        <v>03 - MAR - 26 / 27/03 - SEX</v>
      </c>
      <c r="B106" s="55" t="s">
        <v>1737</v>
      </c>
      <c r="C106" s="55" t="s">
        <v>86</v>
      </c>
      <c r="D106" s="56" t="s">
        <v>378</v>
      </c>
      <c r="E106" s="56" t="s">
        <v>378</v>
      </c>
      <c r="F106" s="56"/>
      <c r="G106" s="57" t="s">
        <v>1738</v>
      </c>
      <c r="H106" s="64" t="s">
        <v>1739</v>
      </c>
      <c r="I106" s="58">
        <v>46107.0</v>
      </c>
    </row>
    <row r="107" ht="15.75" customHeight="1">
      <c r="A107" s="29" t="str">
        <f t="shared" si="3"/>
        <v>03 - MAR - 26 / 27/03 - SEX</v>
      </c>
      <c r="B107" s="55" t="s">
        <v>1740</v>
      </c>
      <c r="C107" s="55" t="s">
        <v>86</v>
      </c>
      <c r="D107" s="56" t="s">
        <v>378</v>
      </c>
      <c r="E107" s="56" t="s">
        <v>378</v>
      </c>
      <c r="F107" s="56"/>
      <c r="G107" s="57" t="s">
        <v>1741</v>
      </c>
      <c r="H107" s="64" t="s">
        <v>1742</v>
      </c>
      <c r="I107" s="58">
        <v>46107.0</v>
      </c>
    </row>
    <row r="108" ht="15.75" customHeight="1">
      <c r="A108" s="37" t="str">
        <f t="shared" ref="A108:A117" si="4">HYPERLINK("https://drive.google.com/drive/folders/1t1P50J4rrjAaorxDx3jT5mgsMSK-IMQR", "03 - MAR - 26 / 26/03 - QUI")</f>
        <v>03 - MAR - 26 / 26/03 - QUI</v>
      </c>
      <c r="B108" s="59" t="s">
        <v>1743</v>
      </c>
      <c r="C108" s="59" t="s">
        <v>86</v>
      </c>
      <c r="D108" s="60" t="s">
        <v>378</v>
      </c>
      <c r="E108" s="60" t="s">
        <v>378</v>
      </c>
      <c r="F108" s="60"/>
      <c r="G108" s="61" t="s">
        <v>1744</v>
      </c>
      <c r="H108" s="63" t="s">
        <v>1745</v>
      </c>
      <c r="I108" s="62">
        <v>46107.0</v>
      </c>
    </row>
    <row r="109" ht="15.75" customHeight="1">
      <c r="A109" s="29" t="str">
        <f t="shared" si="4"/>
        <v>03 - MAR - 26 / 26/03 - QUI</v>
      </c>
      <c r="B109" s="55" t="s">
        <v>1746</v>
      </c>
      <c r="C109" s="55" t="s">
        <v>86</v>
      </c>
      <c r="D109" s="56" t="s">
        <v>378</v>
      </c>
      <c r="E109" s="56" t="s">
        <v>378</v>
      </c>
      <c r="F109" s="56"/>
      <c r="G109" s="57" t="s">
        <v>1747</v>
      </c>
      <c r="H109" s="64" t="s">
        <v>1748</v>
      </c>
      <c r="I109" s="58">
        <v>46107.0</v>
      </c>
    </row>
    <row r="110" ht="15.75" customHeight="1">
      <c r="A110" s="29" t="str">
        <f t="shared" si="4"/>
        <v>03 - MAR - 26 / 26/03 - QUI</v>
      </c>
      <c r="B110" s="55" t="s">
        <v>1749</v>
      </c>
      <c r="C110" s="55" t="s">
        <v>86</v>
      </c>
      <c r="D110" s="56" t="s">
        <v>378</v>
      </c>
      <c r="E110" s="56" t="s">
        <v>378</v>
      </c>
      <c r="F110" s="56"/>
      <c r="G110" s="57" t="s">
        <v>1750</v>
      </c>
      <c r="H110" s="64" t="s">
        <v>1751</v>
      </c>
      <c r="I110" s="58">
        <v>46107.0</v>
      </c>
    </row>
    <row r="111" ht="15.75" customHeight="1">
      <c r="A111" s="29" t="str">
        <f t="shared" si="4"/>
        <v>03 - MAR - 26 / 26/03 - QUI</v>
      </c>
      <c r="B111" s="55" t="s">
        <v>1752</v>
      </c>
      <c r="C111" s="55" t="s">
        <v>86</v>
      </c>
      <c r="D111" s="56" t="s">
        <v>378</v>
      </c>
      <c r="E111" s="56" t="s">
        <v>378</v>
      </c>
      <c r="F111" s="56"/>
      <c r="G111" s="57" t="s">
        <v>1753</v>
      </c>
      <c r="H111" s="64" t="s">
        <v>1754</v>
      </c>
      <c r="I111" s="58">
        <v>46107.0</v>
      </c>
    </row>
    <row r="112" ht="15.75" customHeight="1">
      <c r="A112" s="29" t="str">
        <f t="shared" si="4"/>
        <v>03 - MAR - 26 / 26/03 - QUI</v>
      </c>
      <c r="B112" s="55" t="s">
        <v>1755</v>
      </c>
      <c r="C112" s="55" t="s">
        <v>86</v>
      </c>
      <c r="D112" s="56" t="s">
        <v>378</v>
      </c>
      <c r="E112" s="56" t="s">
        <v>378</v>
      </c>
      <c r="F112" s="56"/>
      <c r="G112" s="57" t="s">
        <v>1756</v>
      </c>
      <c r="H112" s="64" t="s">
        <v>1757</v>
      </c>
      <c r="I112" s="58">
        <v>46107.0</v>
      </c>
    </row>
    <row r="113" ht="15.75" customHeight="1">
      <c r="A113" s="29" t="str">
        <f t="shared" si="4"/>
        <v>03 - MAR - 26 / 26/03 - QUI</v>
      </c>
      <c r="B113" s="55" t="s">
        <v>1758</v>
      </c>
      <c r="C113" s="55" t="s">
        <v>86</v>
      </c>
      <c r="D113" s="56" t="s">
        <v>378</v>
      </c>
      <c r="E113" s="56" t="s">
        <v>378</v>
      </c>
      <c r="F113" s="56"/>
      <c r="G113" s="57" t="s">
        <v>1759</v>
      </c>
      <c r="H113" s="64" t="s">
        <v>1760</v>
      </c>
      <c r="I113" s="58">
        <v>46107.0</v>
      </c>
    </row>
    <row r="114" ht="15.75" customHeight="1">
      <c r="A114" s="29" t="str">
        <f t="shared" si="4"/>
        <v>03 - MAR - 26 / 26/03 - QUI</v>
      </c>
      <c r="B114" s="55" t="s">
        <v>1761</v>
      </c>
      <c r="C114" s="55" t="s">
        <v>86</v>
      </c>
      <c r="D114" s="56" t="s">
        <v>378</v>
      </c>
      <c r="E114" s="56" t="s">
        <v>378</v>
      </c>
      <c r="F114" s="56"/>
      <c r="G114" s="57" t="s">
        <v>1762</v>
      </c>
      <c r="H114" s="64" t="s">
        <v>1763</v>
      </c>
      <c r="I114" s="58">
        <v>46107.0</v>
      </c>
    </row>
    <row r="115" ht="15.75" customHeight="1">
      <c r="A115" s="29" t="str">
        <f t="shared" si="4"/>
        <v>03 - MAR - 26 / 26/03 - QUI</v>
      </c>
      <c r="B115" s="55" t="s">
        <v>1764</v>
      </c>
      <c r="C115" s="55" t="s">
        <v>86</v>
      </c>
      <c r="D115" s="56" t="s">
        <v>378</v>
      </c>
      <c r="E115" s="56" t="s">
        <v>378</v>
      </c>
      <c r="F115" s="56"/>
      <c r="G115" s="57" t="s">
        <v>1765</v>
      </c>
      <c r="H115" s="64" t="s">
        <v>1766</v>
      </c>
      <c r="I115" s="58">
        <v>46107.0</v>
      </c>
    </row>
    <row r="116" ht="15.75" customHeight="1">
      <c r="A116" s="29" t="str">
        <f t="shared" si="4"/>
        <v>03 - MAR - 26 / 26/03 - QUI</v>
      </c>
      <c r="B116" s="55" t="s">
        <v>1767</v>
      </c>
      <c r="C116" s="55" t="s">
        <v>86</v>
      </c>
      <c r="D116" s="56" t="s">
        <v>378</v>
      </c>
      <c r="E116" s="56" t="s">
        <v>378</v>
      </c>
      <c r="F116" s="56"/>
      <c r="G116" s="57" t="s">
        <v>1768</v>
      </c>
      <c r="H116" s="64" t="s">
        <v>1769</v>
      </c>
      <c r="I116" s="58">
        <v>46107.0</v>
      </c>
    </row>
    <row r="117" ht="15.75" customHeight="1">
      <c r="A117" s="29" t="str">
        <f t="shared" si="4"/>
        <v>03 - MAR - 26 / 26/03 - QUI</v>
      </c>
      <c r="B117" s="55" t="s">
        <v>1770</v>
      </c>
      <c r="C117" s="55" t="s">
        <v>86</v>
      </c>
      <c r="D117" s="56" t="s">
        <v>378</v>
      </c>
      <c r="E117" s="56" t="s">
        <v>378</v>
      </c>
      <c r="F117" s="56"/>
      <c r="G117" s="57" t="s">
        <v>1771</v>
      </c>
      <c r="H117" s="64" t="s">
        <v>1772</v>
      </c>
      <c r="I117" s="58">
        <v>46107.0</v>
      </c>
    </row>
    <row r="118" ht="15.75" customHeight="1">
      <c r="A118" s="37" t="str">
        <f t="shared" ref="A118:A127" si="5">HYPERLINK("https://drive.google.com/drive/folders/1j1X6NMkMAWO66d0uTctGEvWLaUmiCh-y", "03 - MAR - 26 / 25/03 - QUA")</f>
        <v>03 - MAR - 26 / 25/03 - QUA</v>
      </c>
      <c r="B118" s="59" t="s">
        <v>1773</v>
      </c>
      <c r="C118" s="59" t="s">
        <v>86</v>
      </c>
      <c r="D118" s="60" t="s">
        <v>378</v>
      </c>
      <c r="E118" s="60" t="s">
        <v>378</v>
      </c>
      <c r="F118" s="60"/>
      <c r="G118" s="61" t="s">
        <v>1774</v>
      </c>
      <c r="H118" s="63" t="s">
        <v>1775</v>
      </c>
      <c r="I118" s="62">
        <v>46107.0</v>
      </c>
    </row>
    <row r="119" ht="15.75" customHeight="1">
      <c r="A119" s="29" t="str">
        <f t="shared" si="5"/>
        <v>03 - MAR - 26 / 25/03 - QUA</v>
      </c>
      <c r="B119" s="55" t="s">
        <v>1776</v>
      </c>
      <c r="C119" s="55" t="s">
        <v>86</v>
      </c>
      <c r="D119" s="56" t="s">
        <v>378</v>
      </c>
      <c r="E119" s="56" t="s">
        <v>378</v>
      </c>
      <c r="F119" s="56"/>
      <c r="G119" s="57" t="s">
        <v>1777</v>
      </c>
      <c r="H119" s="64" t="s">
        <v>1778</v>
      </c>
      <c r="I119" s="58">
        <v>46107.0</v>
      </c>
    </row>
    <row r="120" ht="15.75" customHeight="1">
      <c r="A120" s="29" t="str">
        <f t="shared" si="5"/>
        <v>03 - MAR - 26 / 25/03 - QUA</v>
      </c>
      <c r="B120" s="55" t="s">
        <v>1779</v>
      </c>
      <c r="C120" s="55" t="s">
        <v>86</v>
      </c>
      <c r="D120" s="56" t="s">
        <v>378</v>
      </c>
      <c r="E120" s="56" t="s">
        <v>378</v>
      </c>
      <c r="F120" s="56"/>
      <c r="G120" s="57" t="s">
        <v>1780</v>
      </c>
      <c r="H120" s="64" t="s">
        <v>1781</v>
      </c>
      <c r="I120" s="58">
        <v>46107.0</v>
      </c>
    </row>
    <row r="121" ht="15.75" customHeight="1">
      <c r="A121" s="29" t="str">
        <f t="shared" si="5"/>
        <v>03 - MAR - 26 / 25/03 - QUA</v>
      </c>
      <c r="B121" s="55" t="s">
        <v>1782</v>
      </c>
      <c r="C121" s="55" t="s">
        <v>86</v>
      </c>
      <c r="D121" s="56" t="s">
        <v>378</v>
      </c>
      <c r="E121" s="56" t="s">
        <v>378</v>
      </c>
      <c r="F121" s="56"/>
      <c r="G121" s="57" t="s">
        <v>1783</v>
      </c>
      <c r="H121" s="64" t="s">
        <v>1784</v>
      </c>
      <c r="I121" s="58">
        <v>46107.0</v>
      </c>
    </row>
    <row r="122" ht="15.75" customHeight="1">
      <c r="A122" s="29" t="str">
        <f t="shared" si="5"/>
        <v>03 - MAR - 26 / 25/03 - QUA</v>
      </c>
      <c r="B122" s="55" t="s">
        <v>1785</v>
      </c>
      <c r="C122" s="55" t="s">
        <v>86</v>
      </c>
      <c r="D122" s="56" t="s">
        <v>378</v>
      </c>
      <c r="E122" s="56" t="s">
        <v>378</v>
      </c>
      <c r="F122" s="56"/>
      <c r="G122" s="57" t="s">
        <v>1786</v>
      </c>
      <c r="H122" s="64" t="s">
        <v>1787</v>
      </c>
      <c r="I122" s="58">
        <v>46107.0</v>
      </c>
    </row>
    <row r="123" ht="15.75" customHeight="1">
      <c r="A123" s="29" t="str">
        <f t="shared" si="5"/>
        <v>03 - MAR - 26 / 25/03 - QUA</v>
      </c>
      <c r="B123" s="55" t="s">
        <v>1788</v>
      </c>
      <c r="C123" s="55" t="s">
        <v>86</v>
      </c>
      <c r="D123" s="56" t="s">
        <v>378</v>
      </c>
      <c r="E123" s="56" t="s">
        <v>378</v>
      </c>
      <c r="F123" s="56"/>
      <c r="G123" s="57" t="s">
        <v>1789</v>
      </c>
      <c r="H123" s="64" t="s">
        <v>1790</v>
      </c>
      <c r="I123" s="58">
        <v>46107.0</v>
      </c>
    </row>
    <row r="124" ht="15.75" customHeight="1">
      <c r="A124" s="29" t="str">
        <f t="shared" si="5"/>
        <v>03 - MAR - 26 / 25/03 - QUA</v>
      </c>
      <c r="B124" s="55" t="s">
        <v>1791</v>
      </c>
      <c r="C124" s="55" t="s">
        <v>86</v>
      </c>
      <c r="D124" s="56" t="s">
        <v>378</v>
      </c>
      <c r="E124" s="56" t="s">
        <v>378</v>
      </c>
      <c r="F124" s="56"/>
      <c r="G124" s="57" t="s">
        <v>1792</v>
      </c>
      <c r="H124" s="64" t="s">
        <v>1793</v>
      </c>
      <c r="I124" s="58">
        <v>46107.0</v>
      </c>
    </row>
    <row r="125" ht="15.75" customHeight="1">
      <c r="A125" s="29" t="str">
        <f t="shared" si="5"/>
        <v>03 - MAR - 26 / 25/03 - QUA</v>
      </c>
      <c r="B125" s="55" t="s">
        <v>1794</v>
      </c>
      <c r="C125" s="55" t="s">
        <v>86</v>
      </c>
      <c r="D125" s="56" t="s">
        <v>378</v>
      </c>
      <c r="E125" s="56" t="s">
        <v>378</v>
      </c>
      <c r="F125" s="56"/>
      <c r="G125" s="57" t="s">
        <v>1795</v>
      </c>
      <c r="H125" s="64" t="s">
        <v>1796</v>
      </c>
      <c r="I125" s="58">
        <v>46107.0</v>
      </c>
    </row>
    <row r="126" ht="15.75" customHeight="1">
      <c r="A126" s="29" t="str">
        <f t="shared" si="5"/>
        <v>03 - MAR - 26 / 25/03 - QUA</v>
      </c>
      <c r="B126" s="55" t="s">
        <v>1797</v>
      </c>
      <c r="C126" s="55" t="s">
        <v>86</v>
      </c>
      <c r="D126" s="56" t="s">
        <v>378</v>
      </c>
      <c r="E126" s="56" t="s">
        <v>378</v>
      </c>
      <c r="F126" s="56"/>
      <c r="G126" s="57" t="s">
        <v>1798</v>
      </c>
      <c r="H126" s="64" t="s">
        <v>1799</v>
      </c>
      <c r="I126" s="58">
        <v>46107.0</v>
      </c>
    </row>
    <row r="127" ht="15.75" customHeight="1">
      <c r="A127" s="29" t="str">
        <f t="shared" si="5"/>
        <v>03 - MAR - 26 / 25/03 - QUA</v>
      </c>
      <c r="B127" s="55" t="s">
        <v>1800</v>
      </c>
      <c r="C127" s="55" t="s">
        <v>86</v>
      </c>
      <c r="D127" s="56" t="s">
        <v>378</v>
      </c>
      <c r="E127" s="56" t="s">
        <v>378</v>
      </c>
      <c r="F127" s="56"/>
      <c r="G127" s="57" t="s">
        <v>1801</v>
      </c>
      <c r="H127" s="64" t="s">
        <v>1802</v>
      </c>
      <c r="I127" s="58">
        <v>46104.0</v>
      </c>
    </row>
    <row r="128" ht="15.75" customHeight="1">
      <c r="A128" s="37" t="str">
        <f t="shared" ref="A128:A137" si="6">HYPERLINK("https://drive.google.com/drive/folders/1xWS9vErg5ikVvDM9OXHmmV8C4CNPVtHT", "03 - MAR - 26 / 24/03 - TER")</f>
        <v>03 - MAR - 26 / 24/03 - TER</v>
      </c>
      <c r="B128" s="59" t="s">
        <v>1803</v>
      </c>
      <c r="C128" s="59" t="s">
        <v>86</v>
      </c>
      <c r="D128" s="60" t="s">
        <v>378</v>
      </c>
      <c r="E128" s="60" t="s">
        <v>378</v>
      </c>
      <c r="F128" s="60"/>
      <c r="G128" s="61" t="s">
        <v>1804</v>
      </c>
      <c r="H128" s="63" t="s">
        <v>1805</v>
      </c>
      <c r="I128" s="62">
        <v>46104.0</v>
      </c>
    </row>
    <row r="129" ht="15.75" customHeight="1">
      <c r="A129" s="29" t="str">
        <f t="shared" si="6"/>
        <v>03 - MAR - 26 / 24/03 - TER</v>
      </c>
      <c r="B129" s="55" t="s">
        <v>1806</v>
      </c>
      <c r="C129" s="55" t="s">
        <v>86</v>
      </c>
      <c r="D129" s="56" t="s">
        <v>378</v>
      </c>
      <c r="E129" s="56" t="s">
        <v>378</v>
      </c>
      <c r="F129" s="56"/>
      <c r="G129" s="57" t="s">
        <v>1807</v>
      </c>
      <c r="H129" s="64" t="s">
        <v>1808</v>
      </c>
      <c r="I129" s="58">
        <v>46104.0</v>
      </c>
    </row>
    <row r="130" ht="15.75" customHeight="1">
      <c r="A130" s="29" t="str">
        <f t="shared" si="6"/>
        <v>03 - MAR - 26 / 24/03 - TER</v>
      </c>
      <c r="B130" s="55" t="s">
        <v>1809</v>
      </c>
      <c r="C130" s="55" t="s">
        <v>86</v>
      </c>
      <c r="D130" s="56" t="s">
        <v>378</v>
      </c>
      <c r="E130" s="56" t="s">
        <v>378</v>
      </c>
      <c r="F130" s="56"/>
      <c r="G130" s="57" t="s">
        <v>1810</v>
      </c>
      <c r="H130" s="64" t="s">
        <v>1811</v>
      </c>
      <c r="I130" s="58">
        <v>46104.0</v>
      </c>
    </row>
    <row r="131" ht="15.75" customHeight="1">
      <c r="A131" s="29" t="str">
        <f t="shared" si="6"/>
        <v>03 - MAR - 26 / 24/03 - TER</v>
      </c>
      <c r="B131" s="55" t="s">
        <v>1812</v>
      </c>
      <c r="C131" s="55" t="s">
        <v>86</v>
      </c>
      <c r="D131" s="56" t="s">
        <v>378</v>
      </c>
      <c r="E131" s="56" t="s">
        <v>378</v>
      </c>
      <c r="F131" s="56"/>
      <c r="G131" s="57" t="s">
        <v>1813</v>
      </c>
      <c r="H131" s="64" t="s">
        <v>1814</v>
      </c>
      <c r="I131" s="58">
        <v>46104.0</v>
      </c>
    </row>
    <row r="132" ht="15.75" customHeight="1">
      <c r="A132" s="29" t="str">
        <f t="shared" si="6"/>
        <v>03 - MAR - 26 / 24/03 - TER</v>
      </c>
      <c r="B132" s="55" t="s">
        <v>1815</v>
      </c>
      <c r="C132" s="55" t="s">
        <v>86</v>
      </c>
      <c r="D132" s="56" t="s">
        <v>378</v>
      </c>
      <c r="E132" s="56" t="s">
        <v>378</v>
      </c>
      <c r="F132" s="56"/>
      <c r="G132" s="57" t="s">
        <v>1816</v>
      </c>
      <c r="H132" s="64" t="s">
        <v>1817</v>
      </c>
      <c r="I132" s="58">
        <v>46104.0</v>
      </c>
    </row>
    <row r="133" ht="15.75" customHeight="1">
      <c r="A133" s="29" t="str">
        <f t="shared" si="6"/>
        <v>03 - MAR - 26 / 24/03 - TER</v>
      </c>
      <c r="B133" s="55" t="s">
        <v>1818</v>
      </c>
      <c r="C133" s="55" t="s">
        <v>86</v>
      </c>
      <c r="D133" s="56" t="s">
        <v>378</v>
      </c>
      <c r="E133" s="56" t="s">
        <v>378</v>
      </c>
      <c r="F133" s="56"/>
      <c r="G133" s="57" t="s">
        <v>1819</v>
      </c>
      <c r="H133" s="64" t="s">
        <v>1820</v>
      </c>
      <c r="I133" s="58">
        <v>46104.0</v>
      </c>
    </row>
    <row r="134" ht="15.75" customHeight="1">
      <c r="A134" s="29" t="str">
        <f t="shared" si="6"/>
        <v>03 - MAR - 26 / 24/03 - TER</v>
      </c>
      <c r="B134" s="55" t="s">
        <v>1821</v>
      </c>
      <c r="C134" s="55" t="s">
        <v>86</v>
      </c>
      <c r="D134" s="56" t="s">
        <v>378</v>
      </c>
      <c r="E134" s="56" t="s">
        <v>378</v>
      </c>
      <c r="F134" s="56"/>
      <c r="G134" s="57" t="s">
        <v>1822</v>
      </c>
      <c r="H134" s="64" t="s">
        <v>1823</v>
      </c>
      <c r="I134" s="58">
        <v>46104.0</v>
      </c>
    </row>
    <row r="135" ht="15.75" customHeight="1">
      <c r="A135" s="29" t="str">
        <f t="shared" si="6"/>
        <v>03 - MAR - 26 / 24/03 - TER</v>
      </c>
      <c r="B135" s="55" t="s">
        <v>1824</v>
      </c>
      <c r="C135" s="55" t="s">
        <v>86</v>
      </c>
      <c r="D135" s="56" t="s">
        <v>378</v>
      </c>
      <c r="E135" s="56" t="s">
        <v>378</v>
      </c>
      <c r="F135" s="56"/>
      <c r="G135" s="57" t="s">
        <v>1825</v>
      </c>
      <c r="H135" s="64" t="s">
        <v>1826</v>
      </c>
      <c r="I135" s="58">
        <v>46104.0</v>
      </c>
    </row>
    <row r="136" ht="15.75" customHeight="1">
      <c r="A136" s="29" t="str">
        <f t="shared" si="6"/>
        <v>03 - MAR - 26 / 24/03 - TER</v>
      </c>
      <c r="B136" s="55" t="s">
        <v>1827</v>
      </c>
      <c r="C136" s="55" t="s">
        <v>86</v>
      </c>
      <c r="D136" s="56" t="s">
        <v>378</v>
      </c>
      <c r="E136" s="56" t="s">
        <v>378</v>
      </c>
      <c r="F136" s="56"/>
      <c r="G136" s="57" t="s">
        <v>1828</v>
      </c>
      <c r="H136" s="64" t="s">
        <v>1829</v>
      </c>
      <c r="I136" s="58">
        <v>46104.0</v>
      </c>
    </row>
    <row r="137" ht="15.75" customHeight="1">
      <c r="A137" s="29" t="str">
        <f t="shared" si="6"/>
        <v>03 - MAR - 26 / 24/03 - TER</v>
      </c>
      <c r="B137" s="55" t="s">
        <v>1830</v>
      </c>
      <c r="C137" s="55" t="s">
        <v>86</v>
      </c>
      <c r="D137" s="56" t="s">
        <v>378</v>
      </c>
      <c r="E137" s="56" t="s">
        <v>378</v>
      </c>
      <c r="F137" s="56"/>
      <c r="G137" s="57" t="s">
        <v>1831</v>
      </c>
      <c r="H137" s="64" t="s">
        <v>1832</v>
      </c>
      <c r="I137" s="58">
        <v>46104.0</v>
      </c>
    </row>
    <row r="138" ht="15.75" customHeight="1">
      <c r="A138" s="37" t="str">
        <f t="shared" ref="A138:A147" si="7">HYPERLINK("https://drive.google.com/drive/folders/15JvhpdBw2LkO6kJf5sfZ5pmZW-vj1-Le", "03 - MAR - 26 / 23/03 - SEG")</f>
        <v>03 - MAR - 26 / 23/03 - SEG</v>
      </c>
      <c r="B138" s="59" t="s">
        <v>1833</v>
      </c>
      <c r="C138" s="59" t="s">
        <v>602</v>
      </c>
      <c r="D138" s="60" t="s">
        <v>378</v>
      </c>
      <c r="E138" s="60" t="s">
        <v>378</v>
      </c>
      <c r="F138" s="60"/>
      <c r="G138" s="61" t="s">
        <v>1834</v>
      </c>
      <c r="H138" s="63" t="s">
        <v>1835</v>
      </c>
      <c r="I138" s="62">
        <v>46104.0</v>
      </c>
    </row>
    <row r="139" ht="15.75" customHeight="1">
      <c r="A139" s="29" t="str">
        <f t="shared" si="7"/>
        <v>03 - MAR - 26 / 23/03 - SEG</v>
      </c>
      <c r="B139" s="55" t="s">
        <v>1836</v>
      </c>
      <c r="C139" s="55" t="s">
        <v>602</v>
      </c>
      <c r="D139" s="56" t="s">
        <v>378</v>
      </c>
      <c r="E139" s="56" t="s">
        <v>378</v>
      </c>
      <c r="F139" s="56"/>
      <c r="G139" s="57" t="s">
        <v>1837</v>
      </c>
      <c r="H139" s="64" t="s">
        <v>1838</v>
      </c>
      <c r="I139" s="58">
        <v>46104.0</v>
      </c>
    </row>
    <row r="140" ht="15.75" customHeight="1">
      <c r="A140" s="29" t="str">
        <f t="shared" si="7"/>
        <v>03 - MAR - 26 / 23/03 - SEG</v>
      </c>
      <c r="B140" s="55" t="s">
        <v>1839</v>
      </c>
      <c r="C140" s="55" t="s">
        <v>602</v>
      </c>
      <c r="D140" s="56" t="s">
        <v>378</v>
      </c>
      <c r="E140" s="56" t="s">
        <v>378</v>
      </c>
      <c r="F140" s="56"/>
      <c r="G140" s="57" t="s">
        <v>1840</v>
      </c>
      <c r="H140" s="64" t="s">
        <v>1841</v>
      </c>
      <c r="I140" s="58">
        <v>46104.0</v>
      </c>
    </row>
    <row r="141" ht="15.75" customHeight="1">
      <c r="A141" s="29" t="str">
        <f t="shared" si="7"/>
        <v>03 - MAR - 26 / 23/03 - SEG</v>
      </c>
      <c r="B141" s="55" t="s">
        <v>1842</v>
      </c>
      <c r="C141" s="55" t="s">
        <v>602</v>
      </c>
      <c r="D141" s="56" t="s">
        <v>378</v>
      </c>
      <c r="E141" s="56" t="s">
        <v>378</v>
      </c>
      <c r="F141" s="56"/>
      <c r="G141" s="57" t="s">
        <v>1843</v>
      </c>
      <c r="H141" s="64" t="s">
        <v>1844</v>
      </c>
      <c r="I141" s="58">
        <v>46104.0</v>
      </c>
    </row>
    <row r="142" ht="15.75" customHeight="1">
      <c r="A142" s="29" t="str">
        <f t="shared" si="7"/>
        <v>03 - MAR - 26 / 23/03 - SEG</v>
      </c>
      <c r="B142" s="55" t="s">
        <v>1845</v>
      </c>
      <c r="C142" s="55" t="s">
        <v>602</v>
      </c>
      <c r="D142" s="56" t="s">
        <v>378</v>
      </c>
      <c r="E142" s="56" t="s">
        <v>378</v>
      </c>
      <c r="F142" s="56"/>
      <c r="G142" s="57" t="s">
        <v>1846</v>
      </c>
      <c r="H142" s="64" t="s">
        <v>1847</v>
      </c>
      <c r="I142" s="58">
        <v>46104.0</v>
      </c>
    </row>
    <row r="143" ht="15.75" customHeight="1">
      <c r="A143" s="29" t="str">
        <f t="shared" si="7"/>
        <v>03 - MAR - 26 / 23/03 - SEG</v>
      </c>
      <c r="B143" s="55" t="s">
        <v>1848</v>
      </c>
      <c r="C143" s="55" t="s">
        <v>602</v>
      </c>
      <c r="D143" s="56" t="s">
        <v>378</v>
      </c>
      <c r="E143" s="56" t="s">
        <v>378</v>
      </c>
      <c r="F143" s="56"/>
      <c r="G143" s="57" t="s">
        <v>1849</v>
      </c>
      <c r="H143" s="64" t="s">
        <v>1850</v>
      </c>
      <c r="I143" s="58">
        <v>46104.0</v>
      </c>
    </row>
    <row r="144" ht="15.75" customHeight="1">
      <c r="A144" s="29" t="str">
        <f t="shared" si="7"/>
        <v>03 - MAR - 26 / 23/03 - SEG</v>
      </c>
      <c r="B144" s="55" t="s">
        <v>1851</v>
      </c>
      <c r="C144" s="55" t="s">
        <v>602</v>
      </c>
      <c r="D144" s="56" t="s">
        <v>378</v>
      </c>
      <c r="E144" s="56" t="s">
        <v>378</v>
      </c>
      <c r="F144" s="56"/>
      <c r="G144" s="57" t="s">
        <v>1852</v>
      </c>
      <c r="H144" s="64" t="s">
        <v>1853</v>
      </c>
      <c r="I144" s="58">
        <v>46104.0</v>
      </c>
    </row>
    <row r="145" ht="15.75" customHeight="1">
      <c r="A145" s="29" t="str">
        <f t="shared" si="7"/>
        <v>03 - MAR - 26 / 23/03 - SEG</v>
      </c>
      <c r="B145" s="55" t="s">
        <v>1854</v>
      </c>
      <c r="C145" s="55" t="s">
        <v>602</v>
      </c>
      <c r="D145" s="56" t="s">
        <v>378</v>
      </c>
      <c r="E145" s="56" t="s">
        <v>378</v>
      </c>
      <c r="F145" s="56"/>
      <c r="G145" s="57" t="s">
        <v>1855</v>
      </c>
      <c r="H145" s="64" t="s">
        <v>1856</v>
      </c>
      <c r="I145" s="58">
        <v>46104.0</v>
      </c>
    </row>
    <row r="146" ht="15.75" customHeight="1">
      <c r="A146" s="29" t="str">
        <f t="shared" si="7"/>
        <v>03 - MAR - 26 / 23/03 - SEG</v>
      </c>
      <c r="B146" s="55" t="s">
        <v>1857</v>
      </c>
      <c r="C146" s="55" t="s">
        <v>602</v>
      </c>
      <c r="D146" s="56" t="s">
        <v>378</v>
      </c>
      <c r="E146" s="56" t="s">
        <v>378</v>
      </c>
      <c r="F146" s="56"/>
      <c r="G146" s="57" t="s">
        <v>1858</v>
      </c>
      <c r="H146" s="64" t="s">
        <v>1859</v>
      </c>
      <c r="I146" s="58">
        <v>46104.0</v>
      </c>
    </row>
    <row r="147" ht="15.75" customHeight="1">
      <c r="A147" s="29" t="str">
        <f t="shared" si="7"/>
        <v>03 - MAR - 26 / 23/03 - SEG</v>
      </c>
      <c r="B147" s="55" t="s">
        <v>1860</v>
      </c>
      <c r="C147" s="55" t="s">
        <v>602</v>
      </c>
      <c r="D147" s="56" t="s">
        <v>378</v>
      </c>
      <c r="E147" s="56" t="s">
        <v>378</v>
      </c>
      <c r="F147" s="56"/>
      <c r="G147" s="57" t="s">
        <v>1861</v>
      </c>
      <c r="H147" s="64" t="s">
        <v>1862</v>
      </c>
      <c r="I147" s="58">
        <v>46104.0</v>
      </c>
    </row>
    <row r="148" ht="15.75" customHeight="1">
      <c r="A148" s="37" t="str">
        <f t="shared" ref="A148:A157" si="8">HYPERLINK("https://drive.google.com/drive/folders/10wZ9Qe_sVAK6vUKify1ciKD83h1eEa8d", "03 - MAR - 26 / 20/03 - SEX")</f>
        <v>03 - MAR - 26 / 20/03 - SEX</v>
      </c>
      <c r="B148" s="59" t="s">
        <v>1863</v>
      </c>
      <c r="C148" s="59" t="s">
        <v>86</v>
      </c>
      <c r="D148" s="60" t="s">
        <v>378</v>
      </c>
      <c r="E148" s="60" t="s">
        <v>378</v>
      </c>
      <c r="F148" s="60"/>
      <c r="G148" s="61" t="s">
        <v>1864</v>
      </c>
      <c r="H148" s="63" t="s">
        <v>1865</v>
      </c>
      <c r="I148" s="62">
        <v>46100.0</v>
      </c>
    </row>
    <row r="149" ht="15.75" customHeight="1">
      <c r="A149" s="29" t="str">
        <f t="shared" si="8"/>
        <v>03 - MAR - 26 / 20/03 - SEX</v>
      </c>
      <c r="B149" s="55" t="s">
        <v>1866</v>
      </c>
      <c r="C149" s="55" t="s">
        <v>86</v>
      </c>
      <c r="D149" s="56" t="s">
        <v>378</v>
      </c>
      <c r="E149" s="56" t="s">
        <v>378</v>
      </c>
      <c r="F149" s="56"/>
      <c r="G149" s="57" t="s">
        <v>1867</v>
      </c>
      <c r="H149" s="64" t="s">
        <v>1868</v>
      </c>
      <c r="I149" s="58">
        <v>46100.0</v>
      </c>
    </row>
    <row r="150" ht="15.75" customHeight="1">
      <c r="A150" s="29" t="str">
        <f t="shared" si="8"/>
        <v>03 - MAR - 26 / 20/03 - SEX</v>
      </c>
      <c r="B150" s="55" t="s">
        <v>1869</v>
      </c>
      <c r="C150" s="55" t="s">
        <v>86</v>
      </c>
      <c r="D150" s="56" t="s">
        <v>378</v>
      </c>
      <c r="E150" s="56" t="s">
        <v>378</v>
      </c>
      <c r="F150" s="56"/>
      <c r="G150" s="57" t="s">
        <v>1870</v>
      </c>
      <c r="H150" s="64" t="s">
        <v>1871</v>
      </c>
      <c r="I150" s="58">
        <v>46100.0</v>
      </c>
    </row>
    <row r="151" ht="15.75" customHeight="1">
      <c r="A151" s="29" t="str">
        <f t="shared" si="8"/>
        <v>03 - MAR - 26 / 20/03 - SEX</v>
      </c>
      <c r="B151" s="55" t="s">
        <v>1872</v>
      </c>
      <c r="C151" s="55" t="s">
        <v>86</v>
      </c>
      <c r="D151" s="56" t="s">
        <v>378</v>
      </c>
      <c r="E151" s="56" t="s">
        <v>378</v>
      </c>
      <c r="F151" s="56"/>
      <c r="G151" s="57" t="s">
        <v>1873</v>
      </c>
      <c r="H151" s="64" t="s">
        <v>1874</v>
      </c>
      <c r="I151" s="58">
        <v>46100.0</v>
      </c>
    </row>
    <row r="152" ht="15.75" customHeight="1">
      <c r="A152" s="29" t="str">
        <f t="shared" si="8"/>
        <v>03 - MAR - 26 / 20/03 - SEX</v>
      </c>
      <c r="B152" s="55" t="s">
        <v>1875</v>
      </c>
      <c r="C152" s="55" t="s">
        <v>86</v>
      </c>
      <c r="D152" s="56" t="s">
        <v>378</v>
      </c>
      <c r="E152" s="56" t="s">
        <v>378</v>
      </c>
      <c r="F152" s="56"/>
      <c r="G152" s="57" t="s">
        <v>1876</v>
      </c>
      <c r="H152" s="64" t="s">
        <v>1877</v>
      </c>
      <c r="I152" s="58">
        <v>46100.0</v>
      </c>
    </row>
    <row r="153" ht="15.75" customHeight="1">
      <c r="A153" s="29" t="str">
        <f t="shared" si="8"/>
        <v>03 - MAR - 26 / 20/03 - SEX</v>
      </c>
      <c r="B153" s="55" t="s">
        <v>1878</v>
      </c>
      <c r="C153" s="55" t="s">
        <v>86</v>
      </c>
      <c r="D153" s="56" t="s">
        <v>378</v>
      </c>
      <c r="E153" s="56" t="s">
        <v>378</v>
      </c>
      <c r="F153" s="56"/>
      <c r="G153" s="57" t="s">
        <v>1879</v>
      </c>
      <c r="H153" s="64" t="s">
        <v>1880</v>
      </c>
      <c r="I153" s="58">
        <v>46100.0</v>
      </c>
    </row>
    <row r="154" ht="15.75" customHeight="1">
      <c r="A154" s="29" t="str">
        <f t="shared" si="8"/>
        <v>03 - MAR - 26 / 20/03 - SEX</v>
      </c>
      <c r="B154" s="55" t="s">
        <v>1881</v>
      </c>
      <c r="C154" s="55" t="s">
        <v>86</v>
      </c>
      <c r="D154" s="56" t="s">
        <v>378</v>
      </c>
      <c r="E154" s="56" t="s">
        <v>378</v>
      </c>
      <c r="F154" s="56"/>
      <c r="G154" s="57" t="s">
        <v>1882</v>
      </c>
      <c r="H154" s="64" t="s">
        <v>1883</v>
      </c>
      <c r="I154" s="58">
        <v>46100.0</v>
      </c>
    </row>
    <row r="155" ht="15.75" customHeight="1">
      <c r="A155" s="29" t="str">
        <f t="shared" si="8"/>
        <v>03 - MAR - 26 / 20/03 - SEX</v>
      </c>
      <c r="B155" s="55" t="s">
        <v>1884</v>
      </c>
      <c r="C155" s="55" t="s">
        <v>86</v>
      </c>
      <c r="D155" s="56" t="s">
        <v>378</v>
      </c>
      <c r="E155" s="56" t="s">
        <v>378</v>
      </c>
      <c r="F155" s="56"/>
      <c r="G155" s="57" t="s">
        <v>1885</v>
      </c>
      <c r="H155" s="64" t="s">
        <v>1886</v>
      </c>
      <c r="I155" s="58">
        <v>46100.0</v>
      </c>
    </row>
    <row r="156" ht="15.75" customHeight="1">
      <c r="A156" s="29" t="str">
        <f t="shared" si="8"/>
        <v>03 - MAR - 26 / 20/03 - SEX</v>
      </c>
      <c r="B156" s="55" t="s">
        <v>1887</v>
      </c>
      <c r="C156" s="55" t="s">
        <v>86</v>
      </c>
      <c r="D156" s="56" t="s">
        <v>378</v>
      </c>
      <c r="E156" s="56" t="s">
        <v>378</v>
      </c>
      <c r="F156" s="56"/>
      <c r="G156" s="57" t="s">
        <v>1888</v>
      </c>
      <c r="H156" s="64" t="s">
        <v>1889</v>
      </c>
      <c r="I156" s="58">
        <v>46100.0</v>
      </c>
    </row>
    <row r="157" ht="15.75" customHeight="1">
      <c r="A157" s="29" t="str">
        <f t="shared" si="8"/>
        <v>03 - MAR - 26 / 20/03 - SEX</v>
      </c>
      <c r="B157" s="55" t="s">
        <v>1890</v>
      </c>
      <c r="C157" s="55" t="s">
        <v>86</v>
      </c>
      <c r="D157" s="56" t="s">
        <v>378</v>
      </c>
      <c r="E157" s="56" t="s">
        <v>378</v>
      </c>
      <c r="F157" s="56"/>
      <c r="G157" s="57" t="s">
        <v>1891</v>
      </c>
      <c r="H157" s="64" t="s">
        <v>1892</v>
      </c>
      <c r="I157" s="58">
        <v>46100.0</v>
      </c>
    </row>
    <row r="158" ht="15.75" customHeight="1">
      <c r="A158" s="37" t="str">
        <f t="shared" ref="A158:A167" si="9">HYPERLINK("https://drive.google.com/drive/folders/1YmNceLHTFAnkFpdUiW-Fye-_B3tAi_d_", "03 - MAR - 26 / 19/03 - QUI")</f>
        <v>03 - MAR - 26 / 19/03 - QUI</v>
      </c>
      <c r="B158" s="59" t="s">
        <v>1893</v>
      </c>
      <c r="C158" s="59" t="s">
        <v>602</v>
      </c>
      <c r="D158" s="60" t="s">
        <v>378</v>
      </c>
      <c r="E158" s="60" t="s">
        <v>378</v>
      </c>
      <c r="F158" s="60"/>
      <c r="G158" s="61" t="s">
        <v>1894</v>
      </c>
      <c r="H158" s="63" t="s">
        <v>1895</v>
      </c>
      <c r="I158" s="62">
        <v>46100.0</v>
      </c>
    </row>
    <row r="159" ht="15.75" customHeight="1">
      <c r="A159" s="29" t="str">
        <f t="shared" si="9"/>
        <v>03 - MAR - 26 / 19/03 - QUI</v>
      </c>
      <c r="B159" s="55" t="s">
        <v>1896</v>
      </c>
      <c r="C159" s="55" t="s">
        <v>602</v>
      </c>
      <c r="D159" s="56" t="s">
        <v>378</v>
      </c>
      <c r="E159" s="56" t="s">
        <v>378</v>
      </c>
      <c r="F159" s="56"/>
      <c r="G159" s="57" t="s">
        <v>1897</v>
      </c>
      <c r="H159" s="64" t="s">
        <v>1898</v>
      </c>
      <c r="I159" s="58">
        <v>46100.0</v>
      </c>
    </row>
    <row r="160" ht="15.75" customHeight="1">
      <c r="A160" s="29" t="str">
        <f t="shared" si="9"/>
        <v>03 - MAR - 26 / 19/03 - QUI</v>
      </c>
      <c r="B160" s="55" t="s">
        <v>1899</v>
      </c>
      <c r="C160" s="55" t="s">
        <v>602</v>
      </c>
      <c r="D160" s="56" t="s">
        <v>378</v>
      </c>
      <c r="E160" s="56" t="s">
        <v>378</v>
      </c>
      <c r="F160" s="56"/>
      <c r="G160" s="57" t="s">
        <v>1900</v>
      </c>
      <c r="H160" s="64" t="s">
        <v>1901</v>
      </c>
      <c r="I160" s="58">
        <v>46100.0</v>
      </c>
    </row>
    <row r="161" ht="15.75" customHeight="1">
      <c r="A161" s="29" t="str">
        <f t="shared" si="9"/>
        <v>03 - MAR - 26 / 19/03 - QUI</v>
      </c>
      <c r="B161" s="55" t="s">
        <v>1902</v>
      </c>
      <c r="C161" s="55" t="s">
        <v>602</v>
      </c>
      <c r="D161" s="56" t="s">
        <v>378</v>
      </c>
      <c r="E161" s="56" t="s">
        <v>378</v>
      </c>
      <c r="F161" s="56"/>
      <c r="G161" s="57" t="s">
        <v>1903</v>
      </c>
      <c r="H161" s="64" t="s">
        <v>1904</v>
      </c>
      <c r="I161" s="58">
        <v>46100.0</v>
      </c>
    </row>
    <row r="162" ht="15.75" customHeight="1">
      <c r="A162" s="29" t="str">
        <f t="shared" si="9"/>
        <v>03 - MAR - 26 / 19/03 - QUI</v>
      </c>
      <c r="B162" s="55" t="s">
        <v>1905</v>
      </c>
      <c r="C162" s="55" t="s">
        <v>602</v>
      </c>
      <c r="D162" s="56" t="s">
        <v>378</v>
      </c>
      <c r="E162" s="56" t="s">
        <v>378</v>
      </c>
      <c r="F162" s="56"/>
      <c r="G162" s="57" t="s">
        <v>1906</v>
      </c>
      <c r="H162" s="64" t="s">
        <v>1907</v>
      </c>
      <c r="I162" s="58">
        <v>46100.0</v>
      </c>
    </row>
    <row r="163" ht="15.75" customHeight="1">
      <c r="A163" s="29" t="str">
        <f t="shared" si="9"/>
        <v>03 - MAR - 26 / 19/03 - QUI</v>
      </c>
      <c r="B163" s="55" t="s">
        <v>1908</v>
      </c>
      <c r="C163" s="55" t="s">
        <v>602</v>
      </c>
      <c r="D163" s="56" t="s">
        <v>378</v>
      </c>
      <c r="E163" s="56" t="s">
        <v>378</v>
      </c>
      <c r="F163" s="56"/>
      <c r="G163" s="57" t="s">
        <v>1909</v>
      </c>
      <c r="H163" s="64" t="s">
        <v>1910</v>
      </c>
      <c r="I163" s="58">
        <v>46100.0</v>
      </c>
    </row>
    <row r="164" ht="15.75" customHeight="1">
      <c r="A164" s="29" t="str">
        <f t="shared" si="9"/>
        <v>03 - MAR - 26 / 19/03 - QUI</v>
      </c>
      <c r="B164" s="55" t="s">
        <v>1911</v>
      </c>
      <c r="C164" s="55" t="s">
        <v>602</v>
      </c>
      <c r="D164" s="56" t="s">
        <v>378</v>
      </c>
      <c r="E164" s="56" t="s">
        <v>378</v>
      </c>
      <c r="F164" s="56"/>
      <c r="G164" s="57" t="s">
        <v>1912</v>
      </c>
      <c r="H164" s="64" t="s">
        <v>1913</v>
      </c>
      <c r="I164" s="58">
        <v>46100.0</v>
      </c>
    </row>
    <row r="165" ht="15.75" customHeight="1">
      <c r="A165" s="29" t="str">
        <f t="shared" si="9"/>
        <v>03 - MAR - 26 / 19/03 - QUI</v>
      </c>
      <c r="B165" s="55" t="s">
        <v>1914</v>
      </c>
      <c r="C165" s="55" t="s">
        <v>602</v>
      </c>
      <c r="D165" s="56" t="s">
        <v>378</v>
      </c>
      <c r="E165" s="56" t="s">
        <v>378</v>
      </c>
      <c r="F165" s="56"/>
      <c r="G165" s="57" t="s">
        <v>1915</v>
      </c>
      <c r="H165" s="64" t="s">
        <v>1916</v>
      </c>
      <c r="I165" s="58">
        <v>46100.0</v>
      </c>
    </row>
    <row r="166" ht="15.75" customHeight="1">
      <c r="A166" s="29" t="str">
        <f t="shared" si="9"/>
        <v>03 - MAR - 26 / 19/03 - QUI</v>
      </c>
      <c r="B166" s="55" t="s">
        <v>1917</v>
      </c>
      <c r="C166" s="55" t="s">
        <v>602</v>
      </c>
      <c r="D166" s="56" t="s">
        <v>378</v>
      </c>
      <c r="E166" s="56" t="s">
        <v>378</v>
      </c>
      <c r="F166" s="56"/>
      <c r="G166" s="57" t="s">
        <v>1918</v>
      </c>
      <c r="H166" s="64" t="s">
        <v>1919</v>
      </c>
      <c r="I166" s="58">
        <v>46100.0</v>
      </c>
    </row>
    <row r="167" ht="15.75" customHeight="1">
      <c r="A167" s="29" t="str">
        <f t="shared" si="9"/>
        <v>03 - MAR - 26 / 19/03 - QUI</v>
      </c>
      <c r="B167" s="55" t="s">
        <v>1920</v>
      </c>
      <c r="C167" s="55" t="s">
        <v>602</v>
      </c>
      <c r="D167" s="56" t="s">
        <v>378</v>
      </c>
      <c r="E167" s="56" t="s">
        <v>378</v>
      </c>
      <c r="F167" s="56"/>
      <c r="G167" s="57" t="s">
        <v>1921</v>
      </c>
      <c r="H167" s="64" t="s">
        <v>1922</v>
      </c>
      <c r="I167" s="58">
        <v>46100.0</v>
      </c>
    </row>
    <row r="168" ht="15.75" customHeight="1">
      <c r="A168" s="37" t="str">
        <f t="shared" ref="A168:A177" si="10">HYPERLINK("https://drive.google.com/drive/folders/1sG8A-YI2wCZFSTiLSUCEs9gjlCR1BI1V", "03 - MAR - 26 / 18/03- QUA")</f>
        <v>03 - MAR - 26 / 18/03- QUA</v>
      </c>
      <c r="B168" s="59" t="s">
        <v>1923</v>
      </c>
      <c r="C168" s="59" t="s">
        <v>602</v>
      </c>
      <c r="D168" s="60" t="s">
        <v>378</v>
      </c>
      <c r="E168" s="60" t="s">
        <v>378</v>
      </c>
      <c r="F168" s="60"/>
      <c r="G168" s="61" t="s">
        <v>1924</v>
      </c>
      <c r="H168" s="63" t="s">
        <v>1925</v>
      </c>
      <c r="I168" s="62">
        <v>46099.0</v>
      </c>
    </row>
    <row r="169" ht="15.75" customHeight="1">
      <c r="A169" s="29" t="str">
        <f t="shared" si="10"/>
        <v>03 - MAR - 26 / 18/03- QUA</v>
      </c>
      <c r="B169" s="55" t="s">
        <v>1926</v>
      </c>
      <c r="C169" s="55" t="s">
        <v>602</v>
      </c>
      <c r="D169" s="56" t="s">
        <v>378</v>
      </c>
      <c r="E169" s="56" t="s">
        <v>378</v>
      </c>
      <c r="F169" s="56"/>
      <c r="G169" s="57" t="s">
        <v>1927</v>
      </c>
      <c r="H169" s="64" t="s">
        <v>1928</v>
      </c>
      <c r="I169" s="58">
        <v>46099.0</v>
      </c>
    </row>
    <row r="170" ht="15.75" customHeight="1">
      <c r="A170" s="29" t="str">
        <f t="shared" si="10"/>
        <v>03 - MAR - 26 / 18/03- QUA</v>
      </c>
      <c r="B170" s="55" t="s">
        <v>1929</v>
      </c>
      <c r="C170" s="55" t="s">
        <v>602</v>
      </c>
      <c r="D170" s="56" t="s">
        <v>378</v>
      </c>
      <c r="E170" s="56" t="s">
        <v>378</v>
      </c>
      <c r="F170" s="56"/>
      <c r="G170" s="57" t="s">
        <v>1930</v>
      </c>
      <c r="H170" s="64" t="s">
        <v>1931</v>
      </c>
      <c r="I170" s="58">
        <v>46099.0</v>
      </c>
    </row>
    <row r="171" ht="15.75" customHeight="1">
      <c r="A171" s="29" t="str">
        <f t="shared" si="10"/>
        <v>03 - MAR - 26 / 18/03- QUA</v>
      </c>
      <c r="B171" s="55" t="s">
        <v>1932</v>
      </c>
      <c r="C171" s="55" t="s">
        <v>86</v>
      </c>
      <c r="D171" s="56" t="s">
        <v>378</v>
      </c>
      <c r="E171" s="56" t="s">
        <v>378</v>
      </c>
      <c r="F171" s="56"/>
      <c r="G171" s="57" t="s">
        <v>1933</v>
      </c>
      <c r="H171" s="64" t="s">
        <v>1934</v>
      </c>
      <c r="I171" s="58">
        <v>46098.0</v>
      </c>
    </row>
    <row r="172" ht="15.75" customHeight="1">
      <c r="A172" s="29" t="str">
        <f t="shared" si="10"/>
        <v>03 - MAR - 26 / 18/03- QUA</v>
      </c>
      <c r="B172" s="55" t="s">
        <v>1935</v>
      </c>
      <c r="C172" s="55" t="s">
        <v>86</v>
      </c>
      <c r="D172" s="56" t="s">
        <v>378</v>
      </c>
      <c r="E172" s="56" t="s">
        <v>378</v>
      </c>
      <c r="F172" s="56"/>
      <c r="G172" s="57" t="s">
        <v>1936</v>
      </c>
      <c r="H172" s="64" t="s">
        <v>1937</v>
      </c>
      <c r="I172" s="58">
        <v>46098.0</v>
      </c>
    </row>
    <row r="173" ht="15.75" customHeight="1">
      <c r="A173" s="29" t="str">
        <f t="shared" si="10"/>
        <v>03 - MAR - 26 / 18/03- QUA</v>
      </c>
      <c r="B173" s="55" t="s">
        <v>1938</v>
      </c>
      <c r="C173" s="55" t="s">
        <v>86</v>
      </c>
      <c r="D173" s="56" t="s">
        <v>378</v>
      </c>
      <c r="E173" s="56" t="s">
        <v>378</v>
      </c>
      <c r="F173" s="56"/>
      <c r="G173" s="57" t="s">
        <v>1939</v>
      </c>
      <c r="H173" s="64" t="s">
        <v>1940</v>
      </c>
      <c r="I173" s="58">
        <v>46098.0</v>
      </c>
    </row>
    <row r="174" ht="15.75" customHeight="1">
      <c r="A174" s="29" t="str">
        <f t="shared" si="10"/>
        <v>03 - MAR - 26 / 18/03- QUA</v>
      </c>
      <c r="B174" s="55" t="s">
        <v>1941</v>
      </c>
      <c r="C174" s="55" t="s">
        <v>86</v>
      </c>
      <c r="D174" s="56" t="s">
        <v>378</v>
      </c>
      <c r="E174" s="56" t="s">
        <v>378</v>
      </c>
      <c r="F174" s="56"/>
      <c r="G174" s="57" t="s">
        <v>1942</v>
      </c>
      <c r="H174" s="64" t="s">
        <v>1943</v>
      </c>
      <c r="I174" s="58">
        <v>46098.0</v>
      </c>
    </row>
    <row r="175" ht="15.75" customHeight="1">
      <c r="A175" s="29" t="str">
        <f t="shared" si="10"/>
        <v>03 - MAR - 26 / 18/03- QUA</v>
      </c>
      <c r="B175" s="55" t="s">
        <v>1944</v>
      </c>
      <c r="C175" s="55" t="s">
        <v>86</v>
      </c>
      <c r="D175" s="56" t="s">
        <v>378</v>
      </c>
      <c r="E175" s="56" t="s">
        <v>378</v>
      </c>
      <c r="F175" s="56"/>
      <c r="G175" s="57" t="s">
        <v>1945</v>
      </c>
      <c r="H175" s="64" t="s">
        <v>1946</v>
      </c>
      <c r="I175" s="58">
        <v>46098.0</v>
      </c>
    </row>
    <row r="176" ht="15.75" customHeight="1">
      <c r="A176" s="29" t="str">
        <f t="shared" si="10"/>
        <v>03 - MAR - 26 / 18/03- QUA</v>
      </c>
      <c r="B176" s="55" t="s">
        <v>1947</v>
      </c>
      <c r="C176" s="55" t="s">
        <v>86</v>
      </c>
      <c r="D176" s="56" t="s">
        <v>378</v>
      </c>
      <c r="E176" s="56" t="s">
        <v>378</v>
      </c>
      <c r="F176" s="56"/>
      <c r="G176" s="57" t="s">
        <v>1948</v>
      </c>
      <c r="H176" s="64" t="s">
        <v>1949</v>
      </c>
      <c r="I176" s="58">
        <v>46098.0</v>
      </c>
    </row>
    <row r="177" ht="15.75" customHeight="1">
      <c r="A177" s="29" t="str">
        <f t="shared" si="10"/>
        <v>03 - MAR - 26 / 18/03- QUA</v>
      </c>
      <c r="B177" s="55" t="s">
        <v>1950</v>
      </c>
      <c r="C177" s="55" t="s">
        <v>86</v>
      </c>
      <c r="D177" s="56" t="s">
        <v>378</v>
      </c>
      <c r="E177" s="56" t="s">
        <v>378</v>
      </c>
      <c r="F177" s="56"/>
      <c r="G177" s="57" t="s">
        <v>1951</v>
      </c>
      <c r="H177" s="64" t="s">
        <v>1952</v>
      </c>
      <c r="I177" s="58">
        <v>46098.0</v>
      </c>
    </row>
    <row r="178" ht="15.75" customHeight="1">
      <c r="A178" s="37" t="str">
        <f t="shared" ref="A178:A187" si="11">HYPERLINK("https://drive.google.com/drive/folders/1qWhmJWqjdzN_fgIreUmKIuekD_gLXIV8", "03 - MAR - 26 / 17/03 - TER")</f>
        <v>03 - MAR - 26 / 17/03 - TER</v>
      </c>
      <c r="B178" s="59" t="s">
        <v>1953</v>
      </c>
      <c r="C178" s="59" t="s">
        <v>86</v>
      </c>
      <c r="D178" s="60" t="s">
        <v>378</v>
      </c>
      <c r="E178" s="60" t="s">
        <v>378</v>
      </c>
      <c r="F178" s="60"/>
      <c r="G178" s="61" t="s">
        <v>1954</v>
      </c>
      <c r="H178" s="63" t="s">
        <v>1955</v>
      </c>
      <c r="I178" s="62">
        <v>46098.0</v>
      </c>
    </row>
    <row r="179" ht="15.75" customHeight="1">
      <c r="A179" s="29" t="str">
        <f t="shared" si="11"/>
        <v>03 - MAR - 26 / 17/03 - TER</v>
      </c>
      <c r="B179" s="55" t="s">
        <v>1956</v>
      </c>
      <c r="C179" s="55" t="s">
        <v>86</v>
      </c>
      <c r="D179" s="56" t="s">
        <v>378</v>
      </c>
      <c r="E179" s="56" t="s">
        <v>378</v>
      </c>
      <c r="F179" s="56"/>
      <c r="G179" s="57" t="s">
        <v>1957</v>
      </c>
      <c r="H179" s="64" t="s">
        <v>1958</v>
      </c>
      <c r="I179" s="58">
        <v>46098.0</v>
      </c>
    </row>
    <row r="180" ht="15.75" customHeight="1">
      <c r="A180" s="29" t="str">
        <f t="shared" si="11"/>
        <v>03 - MAR - 26 / 17/03 - TER</v>
      </c>
      <c r="B180" s="55" t="s">
        <v>1959</v>
      </c>
      <c r="C180" s="55" t="s">
        <v>86</v>
      </c>
      <c r="D180" s="56" t="s">
        <v>378</v>
      </c>
      <c r="E180" s="56" t="s">
        <v>378</v>
      </c>
      <c r="F180" s="56"/>
      <c r="G180" s="57" t="s">
        <v>1960</v>
      </c>
      <c r="H180" s="64" t="s">
        <v>1961</v>
      </c>
      <c r="I180" s="58">
        <v>46098.0</v>
      </c>
    </row>
    <row r="181" ht="15.75" customHeight="1">
      <c r="A181" s="29" t="str">
        <f t="shared" si="11"/>
        <v>03 - MAR - 26 / 17/03 - TER</v>
      </c>
      <c r="B181" s="55" t="s">
        <v>1962</v>
      </c>
      <c r="C181" s="55" t="s">
        <v>86</v>
      </c>
      <c r="D181" s="56" t="s">
        <v>378</v>
      </c>
      <c r="E181" s="56" t="s">
        <v>378</v>
      </c>
      <c r="F181" s="56"/>
      <c r="G181" s="57" t="s">
        <v>1963</v>
      </c>
      <c r="H181" s="64" t="s">
        <v>1964</v>
      </c>
      <c r="I181" s="58">
        <v>46098.0</v>
      </c>
    </row>
    <row r="182" ht="15.75" customHeight="1">
      <c r="A182" s="29" t="str">
        <f t="shared" si="11"/>
        <v>03 - MAR - 26 / 17/03 - TER</v>
      </c>
      <c r="B182" s="55" t="s">
        <v>1965</v>
      </c>
      <c r="C182" s="55" t="s">
        <v>86</v>
      </c>
      <c r="D182" s="56" t="s">
        <v>378</v>
      </c>
      <c r="E182" s="56" t="s">
        <v>378</v>
      </c>
      <c r="F182" s="56"/>
      <c r="G182" s="57" t="s">
        <v>1966</v>
      </c>
      <c r="H182" s="64" t="s">
        <v>1967</v>
      </c>
      <c r="I182" s="58">
        <v>46098.0</v>
      </c>
    </row>
    <row r="183" ht="15.75" customHeight="1">
      <c r="A183" s="29" t="str">
        <f t="shared" si="11"/>
        <v>03 - MAR - 26 / 17/03 - TER</v>
      </c>
      <c r="B183" s="55" t="s">
        <v>1968</v>
      </c>
      <c r="C183" s="55" t="s">
        <v>86</v>
      </c>
      <c r="D183" s="56" t="s">
        <v>378</v>
      </c>
      <c r="E183" s="56" t="s">
        <v>378</v>
      </c>
      <c r="F183" s="56"/>
      <c r="G183" s="57" t="s">
        <v>1969</v>
      </c>
      <c r="H183" s="64" t="s">
        <v>1970</v>
      </c>
      <c r="I183" s="58">
        <v>46098.0</v>
      </c>
    </row>
    <row r="184" ht="15.75" customHeight="1">
      <c r="A184" s="29" t="str">
        <f t="shared" si="11"/>
        <v>03 - MAR - 26 / 17/03 - TER</v>
      </c>
      <c r="B184" s="55" t="s">
        <v>1971</v>
      </c>
      <c r="C184" s="55" t="s">
        <v>86</v>
      </c>
      <c r="D184" s="56" t="s">
        <v>378</v>
      </c>
      <c r="E184" s="56" t="s">
        <v>378</v>
      </c>
      <c r="F184" s="56"/>
      <c r="G184" s="57" t="s">
        <v>1972</v>
      </c>
      <c r="H184" s="64" t="s">
        <v>1973</v>
      </c>
      <c r="I184" s="58">
        <v>46098.0</v>
      </c>
    </row>
    <row r="185" ht="15.75" customHeight="1">
      <c r="A185" s="29" t="str">
        <f t="shared" si="11"/>
        <v>03 - MAR - 26 / 17/03 - TER</v>
      </c>
      <c r="B185" s="55" t="s">
        <v>1974</v>
      </c>
      <c r="C185" s="55" t="s">
        <v>86</v>
      </c>
      <c r="D185" s="56" t="s">
        <v>378</v>
      </c>
      <c r="E185" s="56" t="s">
        <v>378</v>
      </c>
      <c r="F185" s="56"/>
      <c r="G185" s="57" t="s">
        <v>1975</v>
      </c>
      <c r="H185" s="64" t="s">
        <v>1976</v>
      </c>
      <c r="I185" s="58">
        <v>46098.0</v>
      </c>
    </row>
    <row r="186" ht="15.75" customHeight="1">
      <c r="A186" s="29" t="str">
        <f t="shared" si="11"/>
        <v>03 - MAR - 26 / 17/03 - TER</v>
      </c>
      <c r="B186" s="55" t="s">
        <v>1977</v>
      </c>
      <c r="C186" s="55" t="s">
        <v>86</v>
      </c>
      <c r="D186" s="56" t="s">
        <v>378</v>
      </c>
      <c r="E186" s="56" t="s">
        <v>378</v>
      </c>
      <c r="F186" s="56"/>
      <c r="G186" s="57" t="s">
        <v>1978</v>
      </c>
      <c r="H186" s="64" t="s">
        <v>1979</v>
      </c>
      <c r="I186" s="58">
        <v>46098.0</v>
      </c>
    </row>
    <row r="187" ht="15.75" customHeight="1">
      <c r="A187" s="29" t="str">
        <f t="shared" si="11"/>
        <v>03 - MAR - 26 / 17/03 - TER</v>
      </c>
      <c r="B187" s="55" t="s">
        <v>1980</v>
      </c>
      <c r="C187" s="55" t="s">
        <v>86</v>
      </c>
      <c r="D187" s="56" t="s">
        <v>378</v>
      </c>
      <c r="E187" s="56" t="s">
        <v>378</v>
      </c>
      <c r="F187" s="56"/>
      <c r="G187" s="57" t="s">
        <v>1981</v>
      </c>
      <c r="H187" s="64" t="s">
        <v>1982</v>
      </c>
      <c r="I187" s="58">
        <v>46098.0</v>
      </c>
    </row>
    <row r="188" ht="15.75" customHeight="1">
      <c r="A188" s="37" t="str">
        <f t="shared" ref="A188:A197" si="12">HYPERLINK("https://drive.google.com/drive/folders/18NSGVEhXONxBAnPeOeahAJyUKIMIobGz", "03 - MAR - 26 / 16/03 - SEG")</f>
        <v>03 - MAR - 26 / 16/03 - SEG</v>
      </c>
      <c r="B188" s="59" t="s">
        <v>1983</v>
      </c>
      <c r="C188" s="59" t="s">
        <v>86</v>
      </c>
      <c r="D188" s="60" t="s">
        <v>378</v>
      </c>
      <c r="E188" s="60" t="s">
        <v>378</v>
      </c>
      <c r="F188" s="60"/>
      <c r="G188" s="61" t="s">
        <v>1984</v>
      </c>
      <c r="H188" s="63" t="s">
        <v>1985</v>
      </c>
      <c r="I188" s="62">
        <v>46098.0</v>
      </c>
    </row>
    <row r="189" ht="15.75" customHeight="1">
      <c r="A189" s="29" t="str">
        <f t="shared" si="12"/>
        <v>03 - MAR - 26 / 16/03 - SEG</v>
      </c>
      <c r="B189" s="55" t="s">
        <v>1986</v>
      </c>
      <c r="C189" s="55" t="s">
        <v>86</v>
      </c>
      <c r="D189" s="56" t="s">
        <v>378</v>
      </c>
      <c r="E189" s="56" t="s">
        <v>378</v>
      </c>
      <c r="F189" s="56"/>
      <c r="G189" s="57" t="s">
        <v>1987</v>
      </c>
      <c r="H189" s="64" t="s">
        <v>1988</v>
      </c>
      <c r="I189" s="58">
        <v>46097.0</v>
      </c>
    </row>
    <row r="190" ht="15.75" customHeight="1">
      <c r="A190" s="29" t="str">
        <f t="shared" si="12"/>
        <v>03 - MAR - 26 / 16/03 - SEG</v>
      </c>
      <c r="B190" s="55" t="s">
        <v>1989</v>
      </c>
      <c r="C190" s="55" t="s">
        <v>86</v>
      </c>
      <c r="D190" s="56" t="s">
        <v>378</v>
      </c>
      <c r="E190" s="56" t="s">
        <v>378</v>
      </c>
      <c r="F190" s="56"/>
      <c r="G190" s="57" t="s">
        <v>1990</v>
      </c>
      <c r="H190" s="64" t="s">
        <v>1991</v>
      </c>
      <c r="I190" s="58">
        <v>46097.0</v>
      </c>
    </row>
    <row r="191" ht="15.75" customHeight="1">
      <c r="A191" s="29" t="str">
        <f t="shared" si="12"/>
        <v>03 - MAR - 26 / 16/03 - SEG</v>
      </c>
      <c r="B191" s="55" t="s">
        <v>1992</v>
      </c>
      <c r="C191" s="55" t="s">
        <v>86</v>
      </c>
      <c r="D191" s="56" t="s">
        <v>378</v>
      </c>
      <c r="E191" s="56" t="s">
        <v>378</v>
      </c>
      <c r="F191" s="56"/>
      <c r="G191" s="57" t="s">
        <v>1993</v>
      </c>
      <c r="H191" s="64" t="s">
        <v>1994</v>
      </c>
      <c r="I191" s="58">
        <v>46097.0</v>
      </c>
    </row>
    <row r="192" ht="15.75" customHeight="1">
      <c r="A192" s="29" t="str">
        <f t="shared" si="12"/>
        <v>03 - MAR - 26 / 16/03 - SEG</v>
      </c>
      <c r="B192" s="55" t="s">
        <v>1995</v>
      </c>
      <c r="C192" s="55" t="s">
        <v>86</v>
      </c>
      <c r="D192" s="56" t="s">
        <v>378</v>
      </c>
      <c r="E192" s="56" t="s">
        <v>378</v>
      </c>
      <c r="F192" s="56"/>
      <c r="G192" s="57" t="s">
        <v>1996</v>
      </c>
      <c r="H192" s="64" t="s">
        <v>1997</v>
      </c>
      <c r="I192" s="58">
        <v>46097.0</v>
      </c>
    </row>
    <row r="193" ht="15.75" customHeight="1">
      <c r="A193" s="29" t="str">
        <f t="shared" si="12"/>
        <v>03 - MAR - 26 / 16/03 - SEG</v>
      </c>
      <c r="B193" s="55" t="s">
        <v>1998</v>
      </c>
      <c r="C193" s="55" t="s">
        <v>86</v>
      </c>
      <c r="D193" s="56" t="s">
        <v>378</v>
      </c>
      <c r="E193" s="56" t="s">
        <v>378</v>
      </c>
      <c r="F193" s="56"/>
      <c r="G193" s="57" t="s">
        <v>1999</v>
      </c>
      <c r="H193" s="64" t="s">
        <v>2000</v>
      </c>
      <c r="I193" s="58">
        <v>46097.0</v>
      </c>
    </row>
    <row r="194" ht="15.75" customHeight="1">
      <c r="A194" s="29" t="str">
        <f t="shared" si="12"/>
        <v>03 - MAR - 26 / 16/03 - SEG</v>
      </c>
      <c r="B194" s="55" t="s">
        <v>2001</v>
      </c>
      <c r="C194" s="55" t="s">
        <v>86</v>
      </c>
      <c r="D194" s="56" t="s">
        <v>378</v>
      </c>
      <c r="E194" s="56" t="s">
        <v>378</v>
      </c>
      <c r="F194" s="56"/>
      <c r="G194" s="57" t="s">
        <v>2002</v>
      </c>
      <c r="H194" s="64" t="s">
        <v>2003</v>
      </c>
      <c r="I194" s="58">
        <v>46097.0</v>
      </c>
    </row>
    <row r="195" ht="15.75" customHeight="1">
      <c r="A195" s="29" t="str">
        <f t="shared" si="12"/>
        <v>03 - MAR - 26 / 16/03 - SEG</v>
      </c>
      <c r="B195" s="55" t="s">
        <v>2004</v>
      </c>
      <c r="C195" s="55" t="s">
        <v>86</v>
      </c>
      <c r="D195" s="56" t="s">
        <v>378</v>
      </c>
      <c r="E195" s="56" t="s">
        <v>378</v>
      </c>
      <c r="F195" s="56"/>
      <c r="G195" s="57" t="s">
        <v>2005</v>
      </c>
      <c r="H195" s="64" t="s">
        <v>2006</v>
      </c>
      <c r="I195" s="58">
        <v>46097.0</v>
      </c>
    </row>
    <row r="196" ht="15.75" customHeight="1">
      <c r="A196" s="29" t="str">
        <f t="shared" si="12"/>
        <v>03 - MAR - 26 / 16/03 - SEG</v>
      </c>
      <c r="B196" s="55" t="s">
        <v>2007</v>
      </c>
      <c r="C196" s="55" t="s">
        <v>86</v>
      </c>
      <c r="D196" s="56" t="s">
        <v>378</v>
      </c>
      <c r="E196" s="56" t="s">
        <v>378</v>
      </c>
      <c r="F196" s="56"/>
      <c r="G196" s="57" t="s">
        <v>2008</v>
      </c>
      <c r="H196" s="64" t="s">
        <v>2009</v>
      </c>
      <c r="I196" s="58">
        <v>46097.0</v>
      </c>
    </row>
    <row r="197" ht="15.75" customHeight="1">
      <c r="A197" s="29" t="str">
        <f t="shared" si="12"/>
        <v>03 - MAR - 26 / 16/03 - SEG</v>
      </c>
      <c r="B197" s="55" t="s">
        <v>2010</v>
      </c>
      <c r="C197" s="55" t="s">
        <v>86</v>
      </c>
      <c r="D197" s="56" t="s">
        <v>378</v>
      </c>
      <c r="E197" s="56" t="s">
        <v>378</v>
      </c>
      <c r="F197" s="56"/>
      <c r="G197" s="57" t="s">
        <v>2011</v>
      </c>
      <c r="H197" s="64" t="s">
        <v>2012</v>
      </c>
      <c r="I197" s="58">
        <v>46097.0</v>
      </c>
    </row>
    <row r="198" ht="15.75" customHeight="1">
      <c r="A198" s="37" t="str">
        <f t="shared" ref="A198:A207" si="13">HYPERLINK("https://drive.google.com/drive/folders/1lq53wcpGWfp0spPAaUGmedzpc3hl_8q0", "03 - MAR - 26 / 13/03 - SEX")</f>
        <v>03 - MAR - 26 / 13/03 - SEX</v>
      </c>
      <c r="B198" s="59" t="s">
        <v>2013</v>
      </c>
      <c r="C198" s="59" t="s">
        <v>602</v>
      </c>
      <c r="D198" s="60" t="s">
        <v>378</v>
      </c>
      <c r="E198" s="60" t="s">
        <v>378</v>
      </c>
      <c r="F198" s="60"/>
      <c r="G198" s="61" t="s">
        <v>2014</v>
      </c>
      <c r="H198" s="63" t="s">
        <v>2015</v>
      </c>
      <c r="I198" s="62">
        <v>46094.0</v>
      </c>
    </row>
    <row r="199" ht="15.75" customHeight="1">
      <c r="A199" s="29" t="str">
        <f t="shared" si="13"/>
        <v>03 - MAR - 26 / 13/03 - SEX</v>
      </c>
      <c r="B199" s="55" t="s">
        <v>2016</v>
      </c>
      <c r="C199" s="55" t="s">
        <v>602</v>
      </c>
      <c r="D199" s="56" t="s">
        <v>378</v>
      </c>
      <c r="E199" s="56" t="s">
        <v>378</v>
      </c>
      <c r="F199" s="56"/>
      <c r="G199" s="57" t="s">
        <v>2017</v>
      </c>
      <c r="H199" s="64" t="s">
        <v>2018</v>
      </c>
      <c r="I199" s="58">
        <v>46094.0</v>
      </c>
    </row>
    <row r="200" ht="15.75" customHeight="1">
      <c r="A200" s="29" t="str">
        <f t="shared" si="13"/>
        <v>03 - MAR - 26 / 13/03 - SEX</v>
      </c>
      <c r="B200" s="55" t="s">
        <v>2019</v>
      </c>
      <c r="C200" s="55" t="s">
        <v>602</v>
      </c>
      <c r="D200" s="56" t="s">
        <v>378</v>
      </c>
      <c r="E200" s="56" t="s">
        <v>378</v>
      </c>
      <c r="F200" s="56"/>
      <c r="G200" s="57" t="s">
        <v>2020</v>
      </c>
      <c r="H200" s="64" t="s">
        <v>2021</v>
      </c>
      <c r="I200" s="58">
        <v>46094.0</v>
      </c>
    </row>
    <row r="201" ht="15.75" customHeight="1">
      <c r="A201" s="29" t="str">
        <f t="shared" si="13"/>
        <v>03 - MAR - 26 / 13/03 - SEX</v>
      </c>
      <c r="B201" s="55" t="s">
        <v>2022</v>
      </c>
      <c r="C201" s="55" t="s">
        <v>86</v>
      </c>
      <c r="D201" s="56" t="s">
        <v>378</v>
      </c>
      <c r="E201" s="56" t="s">
        <v>378</v>
      </c>
      <c r="F201" s="56"/>
      <c r="G201" s="57" t="s">
        <v>2023</v>
      </c>
      <c r="H201" s="64" t="s">
        <v>2024</v>
      </c>
      <c r="I201" s="58">
        <v>46093.0</v>
      </c>
    </row>
    <row r="202" ht="15.75" customHeight="1">
      <c r="A202" s="29" t="str">
        <f t="shared" si="13"/>
        <v>03 - MAR - 26 / 13/03 - SEX</v>
      </c>
      <c r="B202" s="55" t="s">
        <v>2025</v>
      </c>
      <c r="C202" s="55" t="s">
        <v>86</v>
      </c>
      <c r="D202" s="56" t="s">
        <v>378</v>
      </c>
      <c r="E202" s="56" t="s">
        <v>378</v>
      </c>
      <c r="F202" s="56"/>
      <c r="G202" s="57" t="s">
        <v>2026</v>
      </c>
      <c r="H202" s="64" t="s">
        <v>2027</v>
      </c>
      <c r="I202" s="58">
        <v>46093.0</v>
      </c>
    </row>
    <row r="203" ht="15.75" customHeight="1">
      <c r="A203" s="29" t="str">
        <f t="shared" si="13"/>
        <v>03 - MAR - 26 / 13/03 - SEX</v>
      </c>
      <c r="B203" s="55" t="s">
        <v>2028</v>
      </c>
      <c r="C203" s="55" t="s">
        <v>86</v>
      </c>
      <c r="D203" s="56" t="s">
        <v>378</v>
      </c>
      <c r="E203" s="56" t="s">
        <v>378</v>
      </c>
      <c r="F203" s="56"/>
      <c r="G203" s="57" t="s">
        <v>2029</v>
      </c>
      <c r="H203" s="64" t="s">
        <v>2030</v>
      </c>
      <c r="I203" s="58">
        <v>46093.0</v>
      </c>
    </row>
    <row r="204" ht="15.75" customHeight="1">
      <c r="A204" s="29" t="str">
        <f t="shared" si="13"/>
        <v>03 - MAR - 26 / 13/03 - SEX</v>
      </c>
      <c r="B204" s="55" t="s">
        <v>2031</v>
      </c>
      <c r="C204" s="55" t="s">
        <v>86</v>
      </c>
      <c r="D204" s="56" t="s">
        <v>378</v>
      </c>
      <c r="E204" s="56" t="s">
        <v>378</v>
      </c>
      <c r="F204" s="56"/>
      <c r="G204" s="57" t="s">
        <v>2032</v>
      </c>
      <c r="H204" s="64" t="s">
        <v>2033</v>
      </c>
      <c r="I204" s="58">
        <v>46093.0</v>
      </c>
    </row>
    <row r="205" ht="15.75" customHeight="1">
      <c r="A205" s="29" t="str">
        <f t="shared" si="13"/>
        <v>03 - MAR - 26 / 13/03 - SEX</v>
      </c>
      <c r="B205" s="55" t="s">
        <v>2034</v>
      </c>
      <c r="C205" s="55" t="s">
        <v>86</v>
      </c>
      <c r="D205" s="56" t="s">
        <v>378</v>
      </c>
      <c r="E205" s="56" t="s">
        <v>378</v>
      </c>
      <c r="F205" s="56"/>
      <c r="G205" s="57" t="s">
        <v>2035</v>
      </c>
      <c r="H205" s="64" t="s">
        <v>2036</v>
      </c>
      <c r="I205" s="58">
        <v>46093.0</v>
      </c>
    </row>
    <row r="206" ht="15.75" customHeight="1">
      <c r="A206" s="29" t="str">
        <f t="shared" si="13"/>
        <v>03 - MAR - 26 / 13/03 - SEX</v>
      </c>
      <c r="B206" s="55" t="s">
        <v>2037</v>
      </c>
      <c r="C206" s="55" t="s">
        <v>86</v>
      </c>
      <c r="D206" s="56" t="s">
        <v>378</v>
      </c>
      <c r="E206" s="56" t="s">
        <v>378</v>
      </c>
      <c r="F206" s="56"/>
      <c r="G206" s="57" t="s">
        <v>2038</v>
      </c>
      <c r="H206" s="64" t="s">
        <v>2039</v>
      </c>
      <c r="I206" s="58">
        <v>46093.0</v>
      </c>
    </row>
    <row r="207" ht="15.75" customHeight="1">
      <c r="A207" s="29" t="str">
        <f t="shared" si="13"/>
        <v>03 - MAR - 26 / 13/03 - SEX</v>
      </c>
      <c r="B207" s="55" t="s">
        <v>2040</v>
      </c>
      <c r="C207" s="55" t="s">
        <v>86</v>
      </c>
      <c r="D207" s="56" t="s">
        <v>378</v>
      </c>
      <c r="E207" s="56" t="s">
        <v>378</v>
      </c>
      <c r="F207" s="56"/>
      <c r="G207" s="57" t="s">
        <v>2041</v>
      </c>
      <c r="H207" s="64" t="s">
        <v>2042</v>
      </c>
      <c r="I207" s="58">
        <v>46093.0</v>
      </c>
    </row>
    <row r="208" ht="15.75" customHeight="1">
      <c r="A208" s="37" t="str">
        <f t="shared" ref="A208:A217" si="14">HYPERLINK("https://drive.google.com/drive/folders/1tzmkcNB3Vy5Df9KzLzmG2LVdMgFjbmiK", "03 - MAR - 26 / 12/03 - QUI")</f>
        <v>03 - MAR - 26 / 12/03 - QUI</v>
      </c>
      <c r="B208" s="59" t="s">
        <v>2043</v>
      </c>
      <c r="C208" s="59" t="s">
        <v>86</v>
      </c>
      <c r="D208" s="60" t="s">
        <v>378</v>
      </c>
      <c r="E208" s="60" t="s">
        <v>378</v>
      </c>
      <c r="F208" s="60"/>
      <c r="G208" s="61" t="s">
        <v>2044</v>
      </c>
      <c r="H208" s="63" t="s">
        <v>2045</v>
      </c>
      <c r="I208" s="62">
        <v>46093.0</v>
      </c>
    </row>
    <row r="209" ht="15.75" customHeight="1">
      <c r="A209" s="29" t="str">
        <f t="shared" si="14"/>
        <v>03 - MAR - 26 / 12/03 - QUI</v>
      </c>
      <c r="B209" s="55" t="s">
        <v>2046</v>
      </c>
      <c r="C209" s="55" t="s">
        <v>86</v>
      </c>
      <c r="D209" s="56" t="s">
        <v>378</v>
      </c>
      <c r="E209" s="56" t="s">
        <v>378</v>
      </c>
      <c r="F209" s="56"/>
      <c r="G209" s="57" t="s">
        <v>2047</v>
      </c>
      <c r="H209" s="64" t="s">
        <v>2048</v>
      </c>
      <c r="I209" s="58">
        <v>46093.0</v>
      </c>
    </row>
    <row r="210" ht="15.75" customHeight="1">
      <c r="A210" s="29" t="str">
        <f t="shared" si="14"/>
        <v>03 - MAR - 26 / 12/03 - QUI</v>
      </c>
      <c r="B210" s="55" t="s">
        <v>2049</v>
      </c>
      <c r="C210" s="55" t="s">
        <v>86</v>
      </c>
      <c r="D210" s="56" t="s">
        <v>378</v>
      </c>
      <c r="E210" s="56" t="s">
        <v>378</v>
      </c>
      <c r="F210" s="56"/>
      <c r="G210" s="57" t="s">
        <v>2050</v>
      </c>
      <c r="H210" s="64" t="s">
        <v>2051</v>
      </c>
      <c r="I210" s="58">
        <v>46093.0</v>
      </c>
    </row>
    <row r="211" ht="15.75" customHeight="1">
      <c r="A211" s="29" t="str">
        <f t="shared" si="14"/>
        <v>03 - MAR - 26 / 12/03 - QUI</v>
      </c>
      <c r="B211" s="55" t="s">
        <v>2052</v>
      </c>
      <c r="C211" s="55" t="s">
        <v>86</v>
      </c>
      <c r="D211" s="56" t="s">
        <v>378</v>
      </c>
      <c r="E211" s="56" t="s">
        <v>378</v>
      </c>
      <c r="F211" s="56"/>
      <c r="G211" s="57" t="s">
        <v>2053</v>
      </c>
      <c r="H211" s="64" t="s">
        <v>2054</v>
      </c>
      <c r="I211" s="58">
        <v>46093.0</v>
      </c>
    </row>
    <row r="212" ht="15.75" customHeight="1">
      <c r="A212" s="29" t="str">
        <f t="shared" si="14"/>
        <v>03 - MAR - 26 / 12/03 - QUI</v>
      </c>
      <c r="B212" s="55" t="s">
        <v>2055</v>
      </c>
      <c r="C212" s="55" t="s">
        <v>86</v>
      </c>
      <c r="D212" s="56" t="s">
        <v>378</v>
      </c>
      <c r="E212" s="56" t="s">
        <v>378</v>
      </c>
      <c r="F212" s="56"/>
      <c r="G212" s="57" t="s">
        <v>2056</v>
      </c>
      <c r="H212" s="64" t="s">
        <v>2057</v>
      </c>
      <c r="I212" s="58">
        <v>46093.0</v>
      </c>
    </row>
    <row r="213" ht="15.75" customHeight="1">
      <c r="A213" s="29" t="str">
        <f t="shared" si="14"/>
        <v>03 - MAR - 26 / 12/03 - QUI</v>
      </c>
      <c r="B213" s="55" t="s">
        <v>2058</v>
      </c>
      <c r="C213" s="55" t="s">
        <v>86</v>
      </c>
      <c r="D213" s="56" t="s">
        <v>378</v>
      </c>
      <c r="E213" s="56" t="s">
        <v>378</v>
      </c>
      <c r="F213" s="56"/>
      <c r="G213" s="57" t="s">
        <v>2059</v>
      </c>
      <c r="H213" s="64" t="s">
        <v>2060</v>
      </c>
      <c r="I213" s="58">
        <v>46093.0</v>
      </c>
    </row>
    <row r="214" ht="15.75" customHeight="1">
      <c r="A214" s="29" t="str">
        <f t="shared" si="14"/>
        <v>03 - MAR - 26 / 12/03 - QUI</v>
      </c>
      <c r="B214" s="55" t="s">
        <v>2061</v>
      </c>
      <c r="C214" s="55" t="s">
        <v>86</v>
      </c>
      <c r="D214" s="56" t="s">
        <v>378</v>
      </c>
      <c r="E214" s="56" t="s">
        <v>378</v>
      </c>
      <c r="F214" s="56"/>
      <c r="G214" s="57" t="s">
        <v>2062</v>
      </c>
      <c r="H214" s="64" t="s">
        <v>2063</v>
      </c>
      <c r="I214" s="58">
        <v>46093.0</v>
      </c>
    </row>
    <row r="215" ht="15.75" customHeight="1">
      <c r="A215" s="29" t="str">
        <f t="shared" si="14"/>
        <v>03 - MAR - 26 / 12/03 - QUI</v>
      </c>
      <c r="B215" s="55" t="s">
        <v>2064</v>
      </c>
      <c r="C215" s="55" t="s">
        <v>86</v>
      </c>
      <c r="D215" s="56" t="s">
        <v>378</v>
      </c>
      <c r="E215" s="56" t="s">
        <v>378</v>
      </c>
      <c r="F215" s="56"/>
      <c r="G215" s="57" t="s">
        <v>2065</v>
      </c>
      <c r="H215" s="64" t="s">
        <v>2066</v>
      </c>
      <c r="I215" s="58">
        <v>46093.0</v>
      </c>
    </row>
    <row r="216" ht="15.75" customHeight="1">
      <c r="A216" s="29" t="str">
        <f t="shared" si="14"/>
        <v>03 - MAR - 26 / 12/03 - QUI</v>
      </c>
      <c r="B216" s="55" t="s">
        <v>2067</v>
      </c>
      <c r="C216" s="55" t="s">
        <v>86</v>
      </c>
      <c r="D216" s="56" t="s">
        <v>378</v>
      </c>
      <c r="E216" s="56" t="s">
        <v>378</v>
      </c>
      <c r="F216" s="56"/>
      <c r="G216" s="57" t="s">
        <v>2068</v>
      </c>
      <c r="H216" s="64" t="s">
        <v>2069</v>
      </c>
      <c r="I216" s="58">
        <v>46093.0</v>
      </c>
    </row>
    <row r="217" ht="15.75" customHeight="1">
      <c r="A217" s="29" t="str">
        <f t="shared" si="14"/>
        <v>03 - MAR - 26 / 12/03 - QUI</v>
      </c>
      <c r="B217" s="55" t="s">
        <v>2070</v>
      </c>
      <c r="C217" s="55" t="s">
        <v>86</v>
      </c>
      <c r="D217" s="56" t="s">
        <v>378</v>
      </c>
      <c r="E217" s="56" t="s">
        <v>378</v>
      </c>
      <c r="F217" s="56"/>
      <c r="G217" s="57" t="s">
        <v>2071</v>
      </c>
      <c r="H217" s="64" t="s">
        <v>2072</v>
      </c>
      <c r="I217" s="58">
        <v>46092.0</v>
      </c>
    </row>
    <row r="218" ht="15.75" customHeight="1">
      <c r="A218" s="37" t="str">
        <f t="shared" ref="A218:A227" si="15">HYPERLINK("https://drive.google.com/drive/folders/1nwero2re4TXtdOMASQsZhT0ual9Z801k", "03 - MAR - 26 / 11/03 - QUA")</f>
        <v>03 - MAR - 26 / 11/03 - QUA</v>
      </c>
      <c r="B218" s="59" t="s">
        <v>2073</v>
      </c>
      <c r="C218" s="59" t="s">
        <v>602</v>
      </c>
      <c r="D218" s="60" t="s">
        <v>378</v>
      </c>
      <c r="E218" s="60" t="s">
        <v>378</v>
      </c>
      <c r="F218" s="60"/>
      <c r="G218" s="61" t="s">
        <v>2074</v>
      </c>
      <c r="H218" s="63" t="s">
        <v>2075</v>
      </c>
      <c r="I218" s="62">
        <v>46092.0</v>
      </c>
    </row>
    <row r="219" ht="15.75" customHeight="1">
      <c r="A219" s="29" t="str">
        <f t="shared" si="15"/>
        <v>03 - MAR - 26 / 11/03 - QUA</v>
      </c>
      <c r="B219" s="55" t="s">
        <v>2076</v>
      </c>
      <c r="C219" s="55" t="s">
        <v>602</v>
      </c>
      <c r="D219" s="56" t="s">
        <v>378</v>
      </c>
      <c r="E219" s="56" t="s">
        <v>378</v>
      </c>
      <c r="F219" s="56"/>
      <c r="G219" s="57" t="s">
        <v>2077</v>
      </c>
      <c r="H219" s="64" t="s">
        <v>2078</v>
      </c>
      <c r="I219" s="58">
        <v>46092.0</v>
      </c>
    </row>
    <row r="220" ht="15.75" customHeight="1">
      <c r="A220" s="29" t="str">
        <f t="shared" si="15"/>
        <v>03 - MAR - 26 / 11/03 - QUA</v>
      </c>
      <c r="B220" s="55" t="s">
        <v>2079</v>
      </c>
      <c r="C220" s="55" t="s">
        <v>602</v>
      </c>
      <c r="D220" s="56" t="s">
        <v>378</v>
      </c>
      <c r="E220" s="56" t="s">
        <v>378</v>
      </c>
      <c r="F220" s="56"/>
      <c r="G220" s="57" t="s">
        <v>2080</v>
      </c>
      <c r="H220" s="64" t="s">
        <v>2081</v>
      </c>
      <c r="I220" s="58">
        <v>46092.0</v>
      </c>
    </row>
    <row r="221" ht="15.75" customHeight="1">
      <c r="A221" s="29" t="str">
        <f t="shared" si="15"/>
        <v>03 - MAR - 26 / 11/03 - QUA</v>
      </c>
      <c r="B221" s="55" t="s">
        <v>2082</v>
      </c>
      <c r="C221" s="55" t="s">
        <v>86</v>
      </c>
      <c r="D221" s="56" t="s">
        <v>378</v>
      </c>
      <c r="E221" s="56" t="s">
        <v>378</v>
      </c>
      <c r="F221" s="56"/>
      <c r="G221" s="57" t="s">
        <v>2083</v>
      </c>
      <c r="H221" s="64" t="s">
        <v>2084</v>
      </c>
      <c r="I221" s="58">
        <v>46091.0</v>
      </c>
    </row>
    <row r="222" ht="15.75" customHeight="1">
      <c r="A222" s="29" t="str">
        <f t="shared" si="15"/>
        <v>03 - MAR - 26 / 11/03 - QUA</v>
      </c>
      <c r="B222" s="55" t="s">
        <v>2085</v>
      </c>
      <c r="C222" s="55" t="s">
        <v>86</v>
      </c>
      <c r="D222" s="56" t="s">
        <v>378</v>
      </c>
      <c r="E222" s="56" t="s">
        <v>378</v>
      </c>
      <c r="F222" s="56"/>
      <c r="G222" s="57" t="s">
        <v>2086</v>
      </c>
      <c r="H222" s="64" t="s">
        <v>2087</v>
      </c>
      <c r="I222" s="58">
        <v>46091.0</v>
      </c>
    </row>
    <row r="223" ht="15.75" customHeight="1">
      <c r="A223" s="29" t="str">
        <f t="shared" si="15"/>
        <v>03 - MAR - 26 / 11/03 - QUA</v>
      </c>
      <c r="B223" s="55" t="s">
        <v>2088</v>
      </c>
      <c r="C223" s="55" t="s">
        <v>86</v>
      </c>
      <c r="D223" s="56" t="s">
        <v>378</v>
      </c>
      <c r="E223" s="56" t="s">
        <v>378</v>
      </c>
      <c r="F223" s="56"/>
      <c r="G223" s="57" t="s">
        <v>2089</v>
      </c>
      <c r="H223" s="64" t="s">
        <v>2090</v>
      </c>
      <c r="I223" s="58">
        <v>46091.0</v>
      </c>
    </row>
    <row r="224" ht="15.75" customHeight="1">
      <c r="A224" s="29" t="str">
        <f t="shared" si="15"/>
        <v>03 - MAR - 26 / 11/03 - QUA</v>
      </c>
      <c r="B224" s="55" t="s">
        <v>2091</v>
      </c>
      <c r="C224" s="55" t="s">
        <v>86</v>
      </c>
      <c r="D224" s="56" t="s">
        <v>378</v>
      </c>
      <c r="E224" s="56" t="s">
        <v>378</v>
      </c>
      <c r="F224" s="56"/>
      <c r="G224" s="57" t="s">
        <v>2092</v>
      </c>
      <c r="H224" s="64" t="s">
        <v>2093</v>
      </c>
      <c r="I224" s="58">
        <v>46091.0</v>
      </c>
    </row>
    <row r="225" ht="15.75" customHeight="1">
      <c r="A225" s="29" t="str">
        <f t="shared" si="15"/>
        <v>03 - MAR - 26 / 11/03 - QUA</v>
      </c>
      <c r="B225" s="55" t="s">
        <v>2094</v>
      </c>
      <c r="C225" s="55" t="s">
        <v>86</v>
      </c>
      <c r="D225" s="56" t="s">
        <v>378</v>
      </c>
      <c r="E225" s="56" t="s">
        <v>378</v>
      </c>
      <c r="F225" s="56"/>
      <c r="G225" s="57" t="s">
        <v>2095</v>
      </c>
      <c r="H225" s="64" t="s">
        <v>2096</v>
      </c>
      <c r="I225" s="58">
        <v>46091.0</v>
      </c>
    </row>
    <row r="226" ht="15.75" customHeight="1">
      <c r="A226" s="29" t="str">
        <f t="shared" si="15"/>
        <v>03 - MAR - 26 / 11/03 - QUA</v>
      </c>
      <c r="B226" s="55" t="s">
        <v>2097</v>
      </c>
      <c r="C226" s="55" t="s">
        <v>86</v>
      </c>
      <c r="D226" s="56" t="s">
        <v>378</v>
      </c>
      <c r="E226" s="56" t="s">
        <v>378</v>
      </c>
      <c r="F226" s="56"/>
      <c r="G226" s="57" t="s">
        <v>2098</v>
      </c>
      <c r="H226" s="64" t="s">
        <v>2099</v>
      </c>
      <c r="I226" s="58">
        <v>46091.0</v>
      </c>
    </row>
    <row r="227" ht="15.75" customHeight="1">
      <c r="A227" s="29" t="str">
        <f t="shared" si="15"/>
        <v>03 - MAR - 26 / 11/03 - QUA</v>
      </c>
      <c r="B227" s="55" t="s">
        <v>2100</v>
      </c>
      <c r="C227" s="55" t="s">
        <v>86</v>
      </c>
      <c r="D227" s="56" t="s">
        <v>378</v>
      </c>
      <c r="E227" s="56" t="s">
        <v>378</v>
      </c>
      <c r="F227" s="56"/>
      <c r="G227" s="57" t="s">
        <v>2101</v>
      </c>
      <c r="H227" s="64" t="s">
        <v>2102</v>
      </c>
      <c r="I227" s="58">
        <v>46091.0</v>
      </c>
    </row>
    <row r="228" ht="15.75" customHeight="1">
      <c r="A228" s="37" t="str">
        <f t="shared" ref="A228:A237" si="16">HYPERLINK("https://drive.google.com/drive/folders/18aYZMm_tbbZSF0jx-Wlhtc_WShF8VeCc", "03 - MAR - 26 / 10/03 - TER")</f>
        <v>03 - MAR - 26 / 10/03 - TER</v>
      </c>
      <c r="B228" s="59" t="s">
        <v>2103</v>
      </c>
      <c r="C228" s="59" t="s">
        <v>86</v>
      </c>
      <c r="D228" s="60" t="s">
        <v>378</v>
      </c>
      <c r="E228" s="60" t="s">
        <v>378</v>
      </c>
      <c r="F228" s="60"/>
      <c r="G228" s="61" t="s">
        <v>2104</v>
      </c>
      <c r="H228" s="63" t="s">
        <v>2105</v>
      </c>
      <c r="I228" s="62">
        <v>46091.0</v>
      </c>
    </row>
    <row r="229" ht="15.75" customHeight="1">
      <c r="A229" s="29" t="str">
        <f t="shared" si="16"/>
        <v>03 - MAR - 26 / 10/03 - TER</v>
      </c>
      <c r="B229" s="55" t="s">
        <v>2106</v>
      </c>
      <c r="C229" s="55" t="s">
        <v>86</v>
      </c>
      <c r="D229" s="56" t="s">
        <v>378</v>
      </c>
      <c r="E229" s="56" t="s">
        <v>378</v>
      </c>
      <c r="F229" s="56"/>
      <c r="G229" s="57" t="s">
        <v>2107</v>
      </c>
      <c r="H229" s="64" t="s">
        <v>2108</v>
      </c>
      <c r="I229" s="58">
        <v>46091.0</v>
      </c>
    </row>
    <row r="230" ht="15.75" customHeight="1">
      <c r="A230" s="29" t="str">
        <f t="shared" si="16"/>
        <v>03 - MAR - 26 / 10/03 - TER</v>
      </c>
      <c r="B230" s="55" t="s">
        <v>2109</v>
      </c>
      <c r="C230" s="55" t="s">
        <v>86</v>
      </c>
      <c r="D230" s="56" t="s">
        <v>378</v>
      </c>
      <c r="E230" s="56" t="s">
        <v>378</v>
      </c>
      <c r="F230" s="56"/>
      <c r="G230" s="57" t="s">
        <v>2110</v>
      </c>
      <c r="H230" s="64" t="s">
        <v>2111</v>
      </c>
      <c r="I230" s="58">
        <v>46091.0</v>
      </c>
    </row>
    <row r="231" ht="15.75" customHeight="1">
      <c r="A231" s="29" t="str">
        <f t="shared" si="16"/>
        <v>03 - MAR - 26 / 10/03 - TER</v>
      </c>
      <c r="B231" s="55" t="s">
        <v>2112</v>
      </c>
      <c r="C231" s="55" t="s">
        <v>86</v>
      </c>
      <c r="D231" s="56" t="s">
        <v>378</v>
      </c>
      <c r="E231" s="56" t="s">
        <v>378</v>
      </c>
      <c r="F231" s="56"/>
      <c r="G231" s="57" t="s">
        <v>2113</v>
      </c>
      <c r="H231" s="64" t="s">
        <v>2114</v>
      </c>
      <c r="I231" s="58">
        <v>46091.0</v>
      </c>
    </row>
    <row r="232" ht="15.75" customHeight="1">
      <c r="A232" s="29" t="str">
        <f t="shared" si="16"/>
        <v>03 - MAR - 26 / 10/03 - TER</v>
      </c>
      <c r="B232" s="55" t="s">
        <v>2115</v>
      </c>
      <c r="C232" s="55" t="s">
        <v>86</v>
      </c>
      <c r="D232" s="56" t="s">
        <v>378</v>
      </c>
      <c r="E232" s="56" t="s">
        <v>378</v>
      </c>
      <c r="F232" s="56"/>
      <c r="G232" s="57" t="s">
        <v>2116</v>
      </c>
      <c r="H232" s="64" t="s">
        <v>2117</v>
      </c>
      <c r="I232" s="58">
        <v>46091.0</v>
      </c>
    </row>
    <row r="233" ht="15.75" customHeight="1">
      <c r="A233" s="29" t="str">
        <f t="shared" si="16"/>
        <v>03 - MAR - 26 / 10/03 - TER</v>
      </c>
      <c r="B233" s="55" t="s">
        <v>2118</v>
      </c>
      <c r="C233" s="55" t="s">
        <v>86</v>
      </c>
      <c r="D233" s="56" t="s">
        <v>378</v>
      </c>
      <c r="E233" s="56" t="s">
        <v>378</v>
      </c>
      <c r="F233" s="56"/>
      <c r="G233" s="57" t="s">
        <v>2119</v>
      </c>
      <c r="H233" s="64" t="s">
        <v>2120</v>
      </c>
      <c r="I233" s="58">
        <v>46091.0</v>
      </c>
    </row>
    <row r="234" ht="15.75" customHeight="1">
      <c r="A234" s="29" t="str">
        <f t="shared" si="16"/>
        <v>03 - MAR - 26 / 10/03 - TER</v>
      </c>
      <c r="B234" s="55" t="s">
        <v>2121</v>
      </c>
      <c r="C234" s="55" t="s">
        <v>86</v>
      </c>
      <c r="D234" s="56" t="s">
        <v>378</v>
      </c>
      <c r="E234" s="56" t="s">
        <v>378</v>
      </c>
      <c r="F234" s="56"/>
      <c r="G234" s="57" t="s">
        <v>2122</v>
      </c>
      <c r="H234" s="64" t="s">
        <v>2123</v>
      </c>
      <c r="I234" s="58">
        <v>46091.0</v>
      </c>
    </row>
    <row r="235" ht="15.75" customHeight="1">
      <c r="A235" s="29" t="str">
        <f t="shared" si="16"/>
        <v>03 - MAR - 26 / 10/03 - TER</v>
      </c>
      <c r="B235" s="55" t="s">
        <v>2124</v>
      </c>
      <c r="C235" s="55" t="s">
        <v>86</v>
      </c>
      <c r="D235" s="56" t="s">
        <v>378</v>
      </c>
      <c r="E235" s="56" t="s">
        <v>378</v>
      </c>
      <c r="F235" s="56"/>
      <c r="G235" s="57" t="s">
        <v>2125</v>
      </c>
      <c r="H235" s="64" t="s">
        <v>2126</v>
      </c>
      <c r="I235" s="58">
        <v>46091.0</v>
      </c>
    </row>
    <row r="236" ht="15.75" customHeight="1">
      <c r="A236" s="29" t="str">
        <f t="shared" si="16"/>
        <v>03 - MAR - 26 / 10/03 - TER</v>
      </c>
      <c r="B236" s="55" t="s">
        <v>2127</v>
      </c>
      <c r="C236" s="55" t="s">
        <v>86</v>
      </c>
      <c r="D236" s="56" t="s">
        <v>378</v>
      </c>
      <c r="E236" s="56" t="s">
        <v>378</v>
      </c>
      <c r="F236" s="56"/>
      <c r="G236" s="57" t="s">
        <v>2128</v>
      </c>
      <c r="H236" s="64" t="s">
        <v>2129</v>
      </c>
      <c r="I236" s="58">
        <v>46091.0</v>
      </c>
    </row>
    <row r="237" ht="15.75" customHeight="1">
      <c r="A237" s="29" t="str">
        <f t="shared" si="16"/>
        <v>03 - MAR - 26 / 10/03 - TER</v>
      </c>
      <c r="B237" s="55" t="s">
        <v>2130</v>
      </c>
      <c r="C237" s="55" t="s">
        <v>86</v>
      </c>
      <c r="D237" s="56" t="s">
        <v>378</v>
      </c>
      <c r="E237" s="56" t="s">
        <v>378</v>
      </c>
      <c r="F237" s="56"/>
      <c r="G237" s="57" t="s">
        <v>2131</v>
      </c>
      <c r="H237" s="64" t="s">
        <v>2132</v>
      </c>
      <c r="I237" s="58">
        <v>46090.0</v>
      </c>
    </row>
    <row r="238" ht="15.75" customHeight="1">
      <c r="A238" s="37" t="str">
        <f t="shared" ref="A238:A247" si="17">HYPERLINK("https://drive.google.com/drive/folders/1BWfcjjR1VPoxJdMXGmUmV-hd4NxM3X2b", "03 - MAR - 26 / 09/03 - SEG")</f>
        <v>03 - MAR - 26 / 09/03 - SEG</v>
      </c>
      <c r="B238" s="59" t="s">
        <v>2133</v>
      </c>
      <c r="C238" s="59" t="s">
        <v>86</v>
      </c>
      <c r="D238" s="60" t="s">
        <v>378</v>
      </c>
      <c r="E238" s="60" t="s">
        <v>378</v>
      </c>
      <c r="F238" s="60"/>
      <c r="G238" s="61" t="s">
        <v>2134</v>
      </c>
      <c r="H238" s="63" t="s">
        <v>2135</v>
      </c>
      <c r="I238" s="62">
        <v>46090.0</v>
      </c>
    </row>
    <row r="239" ht="15.75" customHeight="1">
      <c r="A239" s="29" t="str">
        <f t="shared" si="17"/>
        <v>03 - MAR - 26 / 09/03 - SEG</v>
      </c>
      <c r="B239" s="55" t="s">
        <v>2136</v>
      </c>
      <c r="C239" s="55" t="s">
        <v>86</v>
      </c>
      <c r="D239" s="56" t="s">
        <v>378</v>
      </c>
      <c r="E239" s="56" t="s">
        <v>378</v>
      </c>
      <c r="F239" s="56"/>
      <c r="G239" s="57" t="s">
        <v>2137</v>
      </c>
      <c r="H239" s="64" t="s">
        <v>2138</v>
      </c>
      <c r="I239" s="58">
        <v>46090.0</v>
      </c>
    </row>
    <row r="240" ht="15.75" customHeight="1">
      <c r="A240" s="29" t="str">
        <f t="shared" si="17"/>
        <v>03 - MAR - 26 / 09/03 - SEG</v>
      </c>
      <c r="B240" s="55" t="s">
        <v>2139</v>
      </c>
      <c r="C240" s="55" t="s">
        <v>86</v>
      </c>
      <c r="D240" s="56" t="s">
        <v>378</v>
      </c>
      <c r="E240" s="56" t="s">
        <v>378</v>
      </c>
      <c r="F240" s="56"/>
      <c r="G240" s="57" t="s">
        <v>2140</v>
      </c>
      <c r="H240" s="64" t="s">
        <v>2141</v>
      </c>
      <c r="I240" s="58">
        <v>46090.0</v>
      </c>
    </row>
    <row r="241" ht="15.75" customHeight="1">
      <c r="A241" s="29" t="str">
        <f t="shared" si="17"/>
        <v>03 - MAR - 26 / 09/03 - SEG</v>
      </c>
      <c r="B241" s="55" t="s">
        <v>2142</v>
      </c>
      <c r="C241" s="55" t="s">
        <v>86</v>
      </c>
      <c r="D241" s="56" t="s">
        <v>378</v>
      </c>
      <c r="E241" s="56" t="s">
        <v>378</v>
      </c>
      <c r="F241" s="56"/>
      <c r="G241" s="57" t="s">
        <v>2143</v>
      </c>
      <c r="H241" s="64" t="s">
        <v>2144</v>
      </c>
      <c r="I241" s="58">
        <v>46090.0</v>
      </c>
    </row>
    <row r="242" ht="15.75" customHeight="1">
      <c r="A242" s="29" t="str">
        <f t="shared" si="17"/>
        <v>03 - MAR - 26 / 09/03 - SEG</v>
      </c>
      <c r="B242" s="55" t="s">
        <v>2145</v>
      </c>
      <c r="C242" s="55" t="s">
        <v>86</v>
      </c>
      <c r="D242" s="56" t="s">
        <v>378</v>
      </c>
      <c r="E242" s="56" t="s">
        <v>378</v>
      </c>
      <c r="F242" s="56"/>
      <c r="G242" s="57" t="s">
        <v>2146</v>
      </c>
      <c r="H242" s="64" t="s">
        <v>2147</v>
      </c>
      <c r="I242" s="58">
        <v>46090.0</v>
      </c>
    </row>
    <row r="243" ht="15.75" customHeight="1">
      <c r="A243" s="29" t="str">
        <f t="shared" si="17"/>
        <v>03 - MAR - 26 / 09/03 - SEG</v>
      </c>
      <c r="B243" s="55" t="s">
        <v>2148</v>
      </c>
      <c r="C243" s="55" t="s">
        <v>86</v>
      </c>
      <c r="D243" s="56" t="s">
        <v>378</v>
      </c>
      <c r="E243" s="56" t="s">
        <v>378</v>
      </c>
      <c r="F243" s="56"/>
      <c r="G243" s="57" t="s">
        <v>2149</v>
      </c>
      <c r="H243" s="64" t="s">
        <v>2150</v>
      </c>
      <c r="I243" s="58">
        <v>46090.0</v>
      </c>
    </row>
    <row r="244" ht="15.75" customHeight="1">
      <c r="A244" s="29" t="str">
        <f t="shared" si="17"/>
        <v>03 - MAR - 26 / 09/03 - SEG</v>
      </c>
      <c r="B244" s="55" t="s">
        <v>2151</v>
      </c>
      <c r="C244" s="55" t="s">
        <v>602</v>
      </c>
      <c r="D244" s="56" t="s">
        <v>378</v>
      </c>
      <c r="E244" s="56" t="s">
        <v>378</v>
      </c>
      <c r="F244" s="56"/>
      <c r="G244" s="57" t="s">
        <v>2152</v>
      </c>
      <c r="H244" s="64" t="s">
        <v>2153</v>
      </c>
      <c r="I244" s="58">
        <v>46087.0</v>
      </c>
    </row>
    <row r="245" ht="15.75" customHeight="1">
      <c r="A245" s="29" t="str">
        <f t="shared" si="17"/>
        <v>03 - MAR - 26 / 09/03 - SEG</v>
      </c>
      <c r="B245" s="55" t="s">
        <v>2154</v>
      </c>
      <c r="C245" s="55" t="s">
        <v>602</v>
      </c>
      <c r="D245" s="56" t="s">
        <v>378</v>
      </c>
      <c r="E245" s="56" t="s">
        <v>378</v>
      </c>
      <c r="F245" s="56"/>
      <c r="G245" s="57" t="s">
        <v>2155</v>
      </c>
      <c r="H245" s="64" t="s">
        <v>2156</v>
      </c>
      <c r="I245" s="58">
        <v>46087.0</v>
      </c>
    </row>
    <row r="246" ht="15.75" customHeight="1">
      <c r="A246" s="29" t="str">
        <f t="shared" si="17"/>
        <v>03 - MAR - 26 / 09/03 - SEG</v>
      </c>
      <c r="B246" s="55" t="s">
        <v>2157</v>
      </c>
      <c r="C246" s="55" t="s">
        <v>602</v>
      </c>
      <c r="D246" s="56" t="s">
        <v>378</v>
      </c>
      <c r="E246" s="56" t="s">
        <v>378</v>
      </c>
      <c r="F246" s="56"/>
      <c r="G246" s="57" t="s">
        <v>2158</v>
      </c>
      <c r="H246" s="64" t="s">
        <v>2159</v>
      </c>
      <c r="I246" s="58">
        <v>46087.0</v>
      </c>
    </row>
    <row r="247" ht="15.75" customHeight="1">
      <c r="A247" s="29" t="str">
        <f t="shared" si="17"/>
        <v>03 - MAR - 26 / 09/03 - SEG</v>
      </c>
      <c r="B247" s="55" t="s">
        <v>2160</v>
      </c>
      <c r="C247" s="55" t="s">
        <v>602</v>
      </c>
      <c r="D247" s="56" t="s">
        <v>378</v>
      </c>
      <c r="E247" s="56" t="s">
        <v>378</v>
      </c>
      <c r="F247" s="56"/>
      <c r="G247" s="57" t="s">
        <v>2161</v>
      </c>
      <c r="H247" s="64" t="s">
        <v>2162</v>
      </c>
      <c r="I247" s="58">
        <v>46087.0</v>
      </c>
    </row>
    <row r="248" ht="15.75" customHeight="1">
      <c r="A248" s="37" t="str">
        <f t="shared" ref="A248:A257" si="18">HYPERLINK("https://drive.google.com/drive/folders/1UsqKx0WHm_vT3UDY-o77zmjnq8O9kMMY", "03 - MAR - 26 / 06/03 - SEX")</f>
        <v>03 - MAR - 26 / 06/03 - SEX</v>
      </c>
      <c r="B248" s="59" t="s">
        <v>2163</v>
      </c>
      <c r="C248" s="59" t="s">
        <v>86</v>
      </c>
      <c r="D248" s="60" t="s">
        <v>378</v>
      </c>
      <c r="E248" s="60" t="s">
        <v>378</v>
      </c>
      <c r="F248" s="60"/>
      <c r="G248" s="61" t="s">
        <v>2164</v>
      </c>
      <c r="H248" s="63" t="s">
        <v>2165</v>
      </c>
      <c r="I248" s="62">
        <v>46086.0</v>
      </c>
    </row>
    <row r="249" ht="15.75" customHeight="1">
      <c r="A249" s="29" t="str">
        <f t="shared" si="18"/>
        <v>03 - MAR - 26 / 06/03 - SEX</v>
      </c>
      <c r="B249" s="55" t="s">
        <v>2166</v>
      </c>
      <c r="C249" s="55" t="s">
        <v>86</v>
      </c>
      <c r="D249" s="56" t="s">
        <v>378</v>
      </c>
      <c r="E249" s="56" t="s">
        <v>378</v>
      </c>
      <c r="F249" s="56"/>
      <c r="G249" s="57" t="s">
        <v>2167</v>
      </c>
      <c r="H249" s="64" t="s">
        <v>2168</v>
      </c>
      <c r="I249" s="58">
        <v>46086.0</v>
      </c>
    </row>
    <row r="250" ht="15.75" customHeight="1">
      <c r="A250" s="29" t="str">
        <f t="shared" si="18"/>
        <v>03 - MAR - 26 / 06/03 - SEX</v>
      </c>
      <c r="B250" s="55" t="s">
        <v>2169</v>
      </c>
      <c r="C250" s="55" t="s">
        <v>86</v>
      </c>
      <c r="D250" s="56" t="s">
        <v>378</v>
      </c>
      <c r="E250" s="56" t="s">
        <v>378</v>
      </c>
      <c r="F250" s="56"/>
      <c r="G250" s="57" t="s">
        <v>2170</v>
      </c>
      <c r="H250" s="64" t="s">
        <v>2171</v>
      </c>
      <c r="I250" s="58">
        <v>46086.0</v>
      </c>
    </row>
    <row r="251" ht="15.75" customHeight="1">
      <c r="A251" s="29" t="str">
        <f t="shared" si="18"/>
        <v>03 - MAR - 26 / 06/03 - SEX</v>
      </c>
      <c r="B251" s="55" t="s">
        <v>2172</v>
      </c>
      <c r="C251" s="55" t="s">
        <v>86</v>
      </c>
      <c r="D251" s="56" t="s">
        <v>378</v>
      </c>
      <c r="E251" s="56" t="s">
        <v>378</v>
      </c>
      <c r="F251" s="56"/>
      <c r="G251" s="57" t="s">
        <v>2173</v>
      </c>
      <c r="H251" s="64" t="s">
        <v>2174</v>
      </c>
      <c r="I251" s="58">
        <v>46086.0</v>
      </c>
    </row>
    <row r="252" ht="15.75" customHeight="1">
      <c r="A252" s="29" t="str">
        <f t="shared" si="18"/>
        <v>03 - MAR - 26 / 06/03 - SEX</v>
      </c>
      <c r="B252" s="55" t="s">
        <v>2175</v>
      </c>
      <c r="C252" s="55" t="s">
        <v>86</v>
      </c>
      <c r="D252" s="56" t="s">
        <v>378</v>
      </c>
      <c r="E252" s="56" t="s">
        <v>378</v>
      </c>
      <c r="F252" s="56"/>
      <c r="G252" s="57" t="s">
        <v>2176</v>
      </c>
      <c r="H252" s="64" t="s">
        <v>2177</v>
      </c>
      <c r="I252" s="58">
        <v>46086.0</v>
      </c>
    </row>
    <row r="253" ht="15.75" customHeight="1">
      <c r="A253" s="29" t="str">
        <f t="shared" si="18"/>
        <v>03 - MAR - 26 / 06/03 - SEX</v>
      </c>
      <c r="B253" s="55" t="s">
        <v>2178</v>
      </c>
      <c r="C253" s="55" t="s">
        <v>86</v>
      </c>
      <c r="D253" s="56" t="s">
        <v>378</v>
      </c>
      <c r="E253" s="56" t="s">
        <v>378</v>
      </c>
      <c r="F253" s="56"/>
      <c r="G253" s="57" t="s">
        <v>2179</v>
      </c>
      <c r="H253" s="64" t="s">
        <v>2180</v>
      </c>
      <c r="I253" s="58">
        <v>46086.0</v>
      </c>
    </row>
    <row r="254" ht="15.75" customHeight="1">
      <c r="A254" s="29" t="str">
        <f t="shared" si="18"/>
        <v>03 - MAR - 26 / 06/03 - SEX</v>
      </c>
      <c r="B254" s="55" t="s">
        <v>2181</v>
      </c>
      <c r="C254" s="55" t="s">
        <v>86</v>
      </c>
      <c r="D254" s="56" t="s">
        <v>378</v>
      </c>
      <c r="E254" s="56" t="s">
        <v>378</v>
      </c>
      <c r="F254" s="56"/>
      <c r="G254" s="57" t="s">
        <v>2182</v>
      </c>
      <c r="H254" s="64" t="s">
        <v>2183</v>
      </c>
      <c r="I254" s="58">
        <v>46086.0</v>
      </c>
    </row>
    <row r="255" ht="15.75" customHeight="1">
      <c r="A255" s="29" t="str">
        <f t="shared" si="18"/>
        <v>03 - MAR - 26 / 06/03 - SEX</v>
      </c>
      <c r="B255" s="55" t="s">
        <v>2184</v>
      </c>
      <c r="C255" s="55" t="s">
        <v>86</v>
      </c>
      <c r="D255" s="56" t="s">
        <v>378</v>
      </c>
      <c r="E255" s="56" t="s">
        <v>378</v>
      </c>
      <c r="F255" s="56"/>
      <c r="G255" s="57" t="s">
        <v>2185</v>
      </c>
      <c r="H255" s="64" t="s">
        <v>2186</v>
      </c>
      <c r="I255" s="58">
        <v>46086.0</v>
      </c>
    </row>
    <row r="256" ht="15.75" customHeight="1">
      <c r="A256" s="29" t="str">
        <f t="shared" si="18"/>
        <v>03 - MAR - 26 / 06/03 - SEX</v>
      </c>
      <c r="B256" s="55" t="s">
        <v>2187</v>
      </c>
      <c r="C256" s="55" t="s">
        <v>86</v>
      </c>
      <c r="D256" s="56" t="s">
        <v>378</v>
      </c>
      <c r="E256" s="56" t="s">
        <v>378</v>
      </c>
      <c r="F256" s="56"/>
      <c r="G256" s="57" t="s">
        <v>2188</v>
      </c>
      <c r="H256" s="64" t="s">
        <v>2189</v>
      </c>
      <c r="I256" s="58">
        <v>46086.0</v>
      </c>
    </row>
    <row r="257" ht="15.75" customHeight="1">
      <c r="A257" s="29" t="str">
        <f t="shared" si="18"/>
        <v>03 - MAR - 26 / 06/03 - SEX</v>
      </c>
      <c r="B257" s="55" t="s">
        <v>2190</v>
      </c>
      <c r="C257" s="55" t="s">
        <v>86</v>
      </c>
      <c r="D257" s="56" t="s">
        <v>378</v>
      </c>
      <c r="E257" s="56" t="s">
        <v>378</v>
      </c>
      <c r="F257" s="56"/>
      <c r="G257" s="57" t="s">
        <v>2191</v>
      </c>
      <c r="H257" s="64" t="s">
        <v>2192</v>
      </c>
      <c r="I257" s="58">
        <v>46086.0</v>
      </c>
    </row>
    <row r="258" ht="15.75" customHeight="1">
      <c r="A258" s="37" t="str">
        <f t="shared" ref="A258:A267" si="19">HYPERLINK("https://drive.google.com/drive/folders/1RC57PVwBZ1GPvxxdy8m8NTiT_OkMwIcS", "03 - MAR - 26 / 05/03 - QUI")</f>
        <v>03 - MAR - 26 / 05/03 - QUI</v>
      </c>
      <c r="B258" s="59" t="s">
        <v>2193</v>
      </c>
      <c r="C258" s="59" t="s">
        <v>86</v>
      </c>
      <c r="D258" s="60" t="s">
        <v>378</v>
      </c>
      <c r="E258" s="60" t="s">
        <v>378</v>
      </c>
      <c r="F258" s="60"/>
      <c r="G258" s="61" t="s">
        <v>2194</v>
      </c>
      <c r="H258" s="63" t="s">
        <v>2195</v>
      </c>
      <c r="I258" s="62">
        <v>46085.0</v>
      </c>
    </row>
    <row r="259" ht="15.75" customHeight="1">
      <c r="A259" s="29" t="str">
        <f t="shared" si="19"/>
        <v>03 - MAR - 26 / 05/03 - QUI</v>
      </c>
      <c r="B259" s="55" t="s">
        <v>2196</v>
      </c>
      <c r="C259" s="55" t="s">
        <v>86</v>
      </c>
      <c r="D259" s="56" t="s">
        <v>378</v>
      </c>
      <c r="E259" s="56" t="s">
        <v>378</v>
      </c>
      <c r="F259" s="56"/>
      <c r="G259" s="57" t="s">
        <v>2197</v>
      </c>
      <c r="H259" s="64" t="s">
        <v>2198</v>
      </c>
      <c r="I259" s="58">
        <v>46085.0</v>
      </c>
    </row>
    <row r="260" ht="15.75" customHeight="1">
      <c r="A260" s="29" t="str">
        <f t="shared" si="19"/>
        <v>03 - MAR - 26 / 05/03 - QUI</v>
      </c>
      <c r="B260" s="55" t="s">
        <v>2199</v>
      </c>
      <c r="C260" s="55" t="s">
        <v>86</v>
      </c>
      <c r="D260" s="56" t="s">
        <v>378</v>
      </c>
      <c r="E260" s="56" t="s">
        <v>378</v>
      </c>
      <c r="F260" s="56"/>
      <c r="G260" s="57" t="s">
        <v>2200</v>
      </c>
      <c r="H260" s="64" t="s">
        <v>2201</v>
      </c>
      <c r="I260" s="58">
        <v>46085.0</v>
      </c>
    </row>
    <row r="261" ht="15.75" customHeight="1">
      <c r="A261" s="29" t="str">
        <f t="shared" si="19"/>
        <v>03 - MAR - 26 / 05/03 - QUI</v>
      </c>
      <c r="B261" s="55" t="s">
        <v>2202</v>
      </c>
      <c r="C261" s="55" t="s">
        <v>86</v>
      </c>
      <c r="D261" s="56" t="s">
        <v>378</v>
      </c>
      <c r="E261" s="56" t="s">
        <v>378</v>
      </c>
      <c r="F261" s="56"/>
      <c r="G261" s="57" t="s">
        <v>2203</v>
      </c>
      <c r="H261" s="64" t="s">
        <v>2204</v>
      </c>
      <c r="I261" s="58">
        <v>46085.0</v>
      </c>
    </row>
    <row r="262" ht="15.75" customHeight="1">
      <c r="A262" s="29" t="str">
        <f t="shared" si="19"/>
        <v>03 - MAR - 26 / 05/03 - QUI</v>
      </c>
      <c r="B262" s="55" t="s">
        <v>2205</v>
      </c>
      <c r="C262" s="55" t="s">
        <v>86</v>
      </c>
      <c r="D262" s="56" t="s">
        <v>378</v>
      </c>
      <c r="E262" s="56" t="s">
        <v>378</v>
      </c>
      <c r="F262" s="56"/>
      <c r="G262" s="57" t="s">
        <v>2206</v>
      </c>
      <c r="H262" s="64" t="s">
        <v>2207</v>
      </c>
      <c r="I262" s="58">
        <v>46085.0</v>
      </c>
    </row>
    <row r="263" ht="15.75" customHeight="1">
      <c r="A263" s="29" t="str">
        <f t="shared" si="19"/>
        <v>03 - MAR - 26 / 05/03 - QUI</v>
      </c>
      <c r="B263" s="55" t="s">
        <v>2208</v>
      </c>
      <c r="C263" s="55" t="s">
        <v>86</v>
      </c>
      <c r="D263" s="56" t="s">
        <v>378</v>
      </c>
      <c r="E263" s="56" t="s">
        <v>378</v>
      </c>
      <c r="F263" s="56"/>
      <c r="G263" s="57" t="s">
        <v>2209</v>
      </c>
      <c r="H263" s="64" t="s">
        <v>2210</v>
      </c>
      <c r="I263" s="58">
        <v>46085.0</v>
      </c>
    </row>
    <row r="264" ht="15.75" customHeight="1">
      <c r="A264" s="29" t="str">
        <f t="shared" si="19"/>
        <v>03 - MAR - 26 / 05/03 - QUI</v>
      </c>
      <c r="B264" s="55" t="s">
        <v>2211</v>
      </c>
      <c r="C264" s="55" t="s">
        <v>86</v>
      </c>
      <c r="D264" s="56" t="s">
        <v>378</v>
      </c>
      <c r="E264" s="56" t="s">
        <v>378</v>
      </c>
      <c r="F264" s="56"/>
      <c r="G264" s="57" t="s">
        <v>2212</v>
      </c>
      <c r="H264" s="64" t="s">
        <v>2213</v>
      </c>
      <c r="I264" s="58">
        <v>46085.0</v>
      </c>
    </row>
    <row r="265" ht="15.75" customHeight="1">
      <c r="A265" s="29" t="str">
        <f t="shared" si="19"/>
        <v>03 - MAR - 26 / 05/03 - QUI</v>
      </c>
      <c r="B265" s="55" t="s">
        <v>2214</v>
      </c>
      <c r="C265" s="55" t="s">
        <v>86</v>
      </c>
      <c r="D265" s="56" t="s">
        <v>378</v>
      </c>
      <c r="E265" s="56" t="s">
        <v>378</v>
      </c>
      <c r="F265" s="56"/>
      <c r="G265" s="57" t="s">
        <v>2215</v>
      </c>
      <c r="H265" s="64" t="s">
        <v>2216</v>
      </c>
      <c r="I265" s="58">
        <v>46085.0</v>
      </c>
    </row>
    <row r="266" ht="15.75" customHeight="1">
      <c r="A266" s="29" t="str">
        <f t="shared" si="19"/>
        <v>03 - MAR - 26 / 05/03 - QUI</v>
      </c>
      <c r="B266" s="55" t="s">
        <v>2217</v>
      </c>
      <c r="C266" s="55" t="s">
        <v>86</v>
      </c>
      <c r="D266" s="56" t="s">
        <v>378</v>
      </c>
      <c r="E266" s="56" t="s">
        <v>378</v>
      </c>
      <c r="F266" s="56"/>
      <c r="G266" s="57" t="s">
        <v>2218</v>
      </c>
      <c r="H266" s="64" t="s">
        <v>2219</v>
      </c>
      <c r="I266" s="58">
        <v>46085.0</v>
      </c>
    </row>
    <row r="267" ht="15.75" customHeight="1">
      <c r="A267" s="29" t="str">
        <f t="shared" si="19"/>
        <v>03 - MAR - 26 / 05/03 - QUI</v>
      </c>
      <c r="B267" s="55" t="s">
        <v>2220</v>
      </c>
      <c r="C267" s="55" t="s">
        <v>86</v>
      </c>
      <c r="D267" s="56" t="s">
        <v>378</v>
      </c>
      <c r="E267" s="56" t="s">
        <v>378</v>
      </c>
      <c r="F267" s="56"/>
      <c r="G267" s="57" t="s">
        <v>2221</v>
      </c>
      <c r="H267" s="64" t="s">
        <v>2222</v>
      </c>
      <c r="I267" s="58">
        <v>46085.0</v>
      </c>
    </row>
    <row r="268" ht="15.75" customHeight="1">
      <c r="A268" s="37" t="str">
        <f t="shared" ref="A268:A276" si="20">HYPERLINK("https://drive.google.com/drive/folders/1w9i22U5E5i1y47x5vjQ-jmyssnUsf5sx", "03 - MAR - 26 / 04/03 - QUA")</f>
        <v>03 - MAR - 26 / 04/03 - QUA</v>
      </c>
      <c r="B268" s="59" t="s">
        <v>2223</v>
      </c>
      <c r="C268" s="59" t="s">
        <v>86</v>
      </c>
      <c r="D268" s="60" t="s">
        <v>378</v>
      </c>
      <c r="E268" s="60" t="s">
        <v>378</v>
      </c>
      <c r="F268" s="60"/>
      <c r="G268" s="61" t="s">
        <v>2224</v>
      </c>
      <c r="H268" s="63" t="s">
        <v>2225</v>
      </c>
      <c r="I268" s="62">
        <v>46084.0</v>
      </c>
    </row>
    <row r="269" ht="15.75" customHeight="1">
      <c r="A269" s="29" t="str">
        <f t="shared" si="20"/>
        <v>03 - MAR - 26 / 04/03 - QUA</v>
      </c>
      <c r="B269" s="55" t="s">
        <v>2226</v>
      </c>
      <c r="C269" s="55" t="s">
        <v>86</v>
      </c>
      <c r="D269" s="56" t="s">
        <v>378</v>
      </c>
      <c r="E269" s="56" t="s">
        <v>378</v>
      </c>
      <c r="F269" s="56"/>
      <c r="G269" s="57" t="s">
        <v>2227</v>
      </c>
      <c r="H269" s="64" t="s">
        <v>2228</v>
      </c>
      <c r="I269" s="58">
        <v>46084.0</v>
      </c>
    </row>
    <row r="270" ht="15.75" customHeight="1">
      <c r="A270" s="29" t="str">
        <f t="shared" si="20"/>
        <v>03 - MAR - 26 / 04/03 - QUA</v>
      </c>
      <c r="B270" s="55" t="s">
        <v>2229</v>
      </c>
      <c r="C270" s="55" t="s">
        <v>86</v>
      </c>
      <c r="D270" s="56" t="s">
        <v>378</v>
      </c>
      <c r="E270" s="56" t="s">
        <v>378</v>
      </c>
      <c r="F270" s="56"/>
      <c r="G270" s="57" t="s">
        <v>2230</v>
      </c>
      <c r="H270" s="64" t="s">
        <v>2231</v>
      </c>
      <c r="I270" s="58">
        <v>46084.0</v>
      </c>
    </row>
    <row r="271" ht="15.75" customHeight="1">
      <c r="A271" s="29" t="str">
        <f t="shared" si="20"/>
        <v>03 - MAR - 26 / 04/03 - QUA</v>
      </c>
      <c r="B271" s="55" t="s">
        <v>2232</v>
      </c>
      <c r="C271" s="55" t="s">
        <v>32</v>
      </c>
      <c r="D271" s="56" t="s">
        <v>378</v>
      </c>
      <c r="E271" s="56" t="s">
        <v>378</v>
      </c>
      <c r="F271" s="56"/>
      <c r="G271" s="57" t="s">
        <v>2233</v>
      </c>
      <c r="H271" s="64" t="s">
        <v>2234</v>
      </c>
      <c r="I271" s="58">
        <v>46084.0</v>
      </c>
    </row>
    <row r="272" ht="15.75" customHeight="1">
      <c r="A272" s="29" t="str">
        <f t="shared" si="20"/>
        <v>03 - MAR - 26 / 04/03 - QUA</v>
      </c>
      <c r="B272" s="55" t="s">
        <v>2235</v>
      </c>
      <c r="C272" s="55" t="s">
        <v>32</v>
      </c>
      <c r="D272" s="56" t="s">
        <v>378</v>
      </c>
      <c r="E272" s="56" t="s">
        <v>378</v>
      </c>
      <c r="F272" s="56"/>
      <c r="G272" s="57" t="s">
        <v>2236</v>
      </c>
      <c r="H272" s="64" t="s">
        <v>2237</v>
      </c>
      <c r="I272" s="58">
        <v>46084.0</v>
      </c>
    </row>
    <row r="273" ht="15.75" customHeight="1">
      <c r="A273" s="29" t="str">
        <f t="shared" si="20"/>
        <v>03 - MAR - 26 / 04/03 - QUA</v>
      </c>
      <c r="B273" s="55" t="s">
        <v>2238</v>
      </c>
      <c r="C273" s="55" t="s">
        <v>32</v>
      </c>
      <c r="D273" s="56" t="s">
        <v>378</v>
      </c>
      <c r="E273" s="56" t="s">
        <v>378</v>
      </c>
      <c r="F273" s="56"/>
      <c r="G273" s="57" t="s">
        <v>2239</v>
      </c>
      <c r="H273" s="64" t="s">
        <v>2240</v>
      </c>
      <c r="I273" s="58">
        <v>46084.0</v>
      </c>
    </row>
    <row r="274" ht="15.75" customHeight="1">
      <c r="A274" s="29" t="str">
        <f t="shared" si="20"/>
        <v>03 - MAR - 26 / 04/03 - QUA</v>
      </c>
      <c r="B274" s="55" t="s">
        <v>2241</v>
      </c>
      <c r="C274" s="55" t="s">
        <v>32</v>
      </c>
      <c r="D274" s="56" t="s">
        <v>378</v>
      </c>
      <c r="E274" s="56" t="s">
        <v>378</v>
      </c>
      <c r="F274" s="56"/>
      <c r="G274" s="57" t="s">
        <v>2242</v>
      </c>
      <c r="H274" s="64" t="s">
        <v>2243</v>
      </c>
      <c r="I274" s="58">
        <v>46084.0</v>
      </c>
    </row>
    <row r="275" ht="15.75" customHeight="1">
      <c r="A275" s="29" t="str">
        <f t="shared" si="20"/>
        <v>03 - MAR - 26 / 04/03 - QUA</v>
      </c>
      <c r="B275" s="55" t="s">
        <v>2244</v>
      </c>
      <c r="C275" s="55" t="s">
        <v>32</v>
      </c>
      <c r="D275" s="56" t="s">
        <v>378</v>
      </c>
      <c r="E275" s="56" t="s">
        <v>378</v>
      </c>
      <c r="F275" s="56"/>
      <c r="G275" s="57" t="s">
        <v>2245</v>
      </c>
      <c r="H275" s="64" t="s">
        <v>2246</v>
      </c>
      <c r="I275" s="58">
        <v>46084.0</v>
      </c>
    </row>
    <row r="276" ht="15.75" customHeight="1">
      <c r="A276" s="29" t="str">
        <f t="shared" si="20"/>
        <v>03 - MAR - 26 / 04/03 - QUA</v>
      </c>
      <c r="B276" s="55" t="s">
        <v>2247</v>
      </c>
      <c r="C276" s="55" t="s">
        <v>32</v>
      </c>
      <c r="D276" s="56" t="s">
        <v>378</v>
      </c>
      <c r="E276" s="56" t="s">
        <v>378</v>
      </c>
      <c r="F276" s="56"/>
      <c r="G276" s="57" t="s">
        <v>2248</v>
      </c>
      <c r="H276" s="64" t="s">
        <v>2249</v>
      </c>
      <c r="I276" s="58">
        <v>46084.0</v>
      </c>
    </row>
    <row r="277" ht="15.75" customHeight="1">
      <c r="A277" s="37" t="str">
        <f t="shared" ref="A277:A286" si="21">HYPERLINK("https://drive.google.com/drive/folders/1fIhLXMP5NjTaJQQLR8k3_ffm5vkLcJd2", "03 - MAR - 26 / 03/03 - TER")</f>
        <v>03 - MAR - 26 / 03/03 - TER</v>
      </c>
      <c r="B277" s="59" t="s">
        <v>2250</v>
      </c>
      <c r="C277" s="59" t="s">
        <v>86</v>
      </c>
      <c r="D277" s="60" t="s">
        <v>378</v>
      </c>
      <c r="E277" s="60" t="s">
        <v>378</v>
      </c>
      <c r="F277" s="60"/>
      <c r="G277" s="61" t="s">
        <v>2251</v>
      </c>
      <c r="H277" s="63" t="s">
        <v>2252</v>
      </c>
      <c r="I277" s="62">
        <v>46083.0</v>
      </c>
    </row>
    <row r="278" ht="15.75" customHeight="1">
      <c r="A278" s="29" t="str">
        <f t="shared" si="21"/>
        <v>03 - MAR - 26 / 03/03 - TER</v>
      </c>
      <c r="B278" s="55" t="s">
        <v>2253</v>
      </c>
      <c r="C278" s="55" t="s">
        <v>32</v>
      </c>
      <c r="D278" s="56" t="s">
        <v>378</v>
      </c>
      <c r="E278" s="56" t="s">
        <v>378</v>
      </c>
      <c r="F278" s="56"/>
      <c r="G278" s="57" t="s">
        <v>2254</v>
      </c>
      <c r="H278" s="64" t="s">
        <v>2255</v>
      </c>
      <c r="I278" s="58">
        <v>46083.0</v>
      </c>
    </row>
    <row r="279" ht="15.75" customHeight="1">
      <c r="A279" s="29" t="str">
        <f t="shared" si="21"/>
        <v>03 - MAR - 26 / 03/03 - TER</v>
      </c>
      <c r="B279" s="55" t="s">
        <v>2256</v>
      </c>
      <c r="C279" s="55" t="s">
        <v>32</v>
      </c>
      <c r="D279" s="56" t="s">
        <v>378</v>
      </c>
      <c r="E279" s="56" t="s">
        <v>378</v>
      </c>
      <c r="F279" s="56"/>
      <c r="G279" s="57" t="s">
        <v>2257</v>
      </c>
      <c r="H279" s="64" t="s">
        <v>2258</v>
      </c>
      <c r="I279" s="58">
        <v>46083.0</v>
      </c>
    </row>
    <row r="280" ht="15.75" customHeight="1">
      <c r="A280" s="29" t="str">
        <f t="shared" si="21"/>
        <v>03 - MAR - 26 / 03/03 - TER</v>
      </c>
      <c r="B280" s="55" t="s">
        <v>2259</v>
      </c>
      <c r="C280" s="55" t="s">
        <v>32</v>
      </c>
      <c r="D280" s="56" t="s">
        <v>378</v>
      </c>
      <c r="E280" s="56" t="s">
        <v>378</v>
      </c>
      <c r="F280" s="56"/>
      <c r="G280" s="57" t="s">
        <v>2260</v>
      </c>
      <c r="H280" s="64" t="s">
        <v>2261</v>
      </c>
      <c r="I280" s="58">
        <v>46083.0</v>
      </c>
    </row>
    <row r="281" ht="15.75" customHeight="1">
      <c r="A281" s="29" t="str">
        <f t="shared" si="21"/>
        <v>03 - MAR - 26 / 03/03 - TER</v>
      </c>
      <c r="B281" s="55" t="s">
        <v>2262</v>
      </c>
      <c r="C281" s="55" t="s">
        <v>32</v>
      </c>
      <c r="D281" s="56" t="s">
        <v>378</v>
      </c>
      <c r="E281" s="56" t="s">
        <v>378</v>
      </c>
      <c r="F281" s="56"/>
      <c r="G281" s="57" t="s">
        <v>2263</v>
      </c>
      <c r="H281" s="64" t="s">
        <v>2264</v>
      </c>
      <c r="I281" s="58">
        <v>46083.0</v>
      </c>
    </row>
    <row r="282" ht="15.75" customHeight="1">
      <c r="A282" s="29" t="str">
        <f t="shared" si="21"/>
        <v>03 - MAR - 26 / 03/03 - TER</v>
      </c>
      <c r="B282" s="55" t="s">
        <v>2265</v>
      </c>
      <c r="C282" s="55" t="s">
        <v>32</v>
      </c>
      <c r="D282" s="56" t="s">
        <v>378</v>
      </c>
      <c r="E282" s="56" t="s">
        <v>378</v>
      </c>
      <c r="F282" s="56"/>
      <c r="G282" s="57" t="s">
        <v>2266</v>
      </c>
      <c r="H282" s="64" t="s">
        <v>2267</v>
      </c>
      <c r="I282" s="58">
        <v>46083.0</v>
      </c>
    </row>
    <row r="283" ht="15.75" customHeight="1">
      <c r="A283" s="29" t="str">
        <f t="shared" si="21"/>
        <v>03 - MAR - 26 / 03/03 - TER</v>
      </c>
      <c r="B283" s="55" t="s">
        <v>2268</v>
      </c>
      <c r="C283" s="55" t="s">
        <v>32</v>
      </c>
      <c r="D283" s="56" t="s">
        <v>378</v>
      </c>
      <c r="E283" s="56" t="s">
        <v>378</v>
      </c>
      <c r="F283" s="56"/>
      <c r="G283" s="57" t="s">
        <v>2269</v>
      </c>
      <c r="H283" s="64" t="s">
        <v>2270</v>
      </c>
      <c r="I283" s="58">
        <v>46083.0</v>
      </c>
    </row>
    <row r="284" ht="15.75" customHeight="1">
      <c r="A284" s="29" t="str">
        <f t="shared" si="21"/>
        <v>03 - MAR - 26 / 03/03 - TER</v>
      </c>
      <c r="B284" s="55" t="s">
        <v>2271</v>
      </c>
      <c r="C284" s="55" t="s">
        <v>32</v>
      </c>
      <c r="D284" s="56" t="s">
        <v>378</v>
      </c>
      <c r="E284" s="56" t="s">
        <v>378</v>
      </c>
      <c r="F284" s="56"/>
      <c r="G284" s="57" t="s">
        <v>2272</v>
      </c>
      <c r="H284" s="64" t="s">
        <v>2273</v>
      </c>
      <c r="I284" s="58">
        <v>46083.0</v>
      </c>
    </row>
    <row r="285" ht="15.75" customHeight="1">
      <c r="A285" s="29" t="str">
        <f t="shared" si="21"/>
        <v>03 - MAR - 26 / 03/03 - TER</v>
      </c>
      <c r="B285" s="55" t="s">
        <v>2274</v>
      </c>
      <c r="C285" s="55" t="s">
        <v>32</v>
      </c>
      <c r="D285" s="56" t="s">
        <v>378</v>
      </c>
      <c r="E285" s="56" t="s">
        <v>378</v>
      </c>
      <c r="F285" s="56"/>
      <c r="G285" s="57" t="s">
        <v>2275</v>
      </c>
      <c r="H285" s="64" t="s">
        <v>2276</v>
      </c>
      <c r="I285" s="58">
        <v>46083.0</v>
      </c>
    </row>
    <row r="286" ht="15.75" customHeight="1">
      <c r="A286" s="29" t="str">
        <f t="shared" si="21"/>
        <v>03 - MAR - 26 / 03/03 - TER</v>
      </c>
      <c r="B286" s="55" t="s">
        <v>2277</v>
      </c>
      <c r="C286" s="55" t="s">
        <v>32</v>
      </c>
      <c r="D286" s="56" t="s">
        <v>378</v>
      </c>
      <c r="E286" s="56" t="s">
        <v>378</v>
      </c>
      <c r="F286" s="56"/>
      <c r="G286" s="57" t="s">
        <v>2278</v>
      </c>
      <c r="H286" s="64" t="s">
        <v>2279</v>
      </c>
      <c r="I286" s="58">
        <v>46083.0</v>
      </c>
    </row>
    <row r="287" ht="15.75" customHeight="1">
      <c r="A287" s="37" t="str">
        <f t="shared" ref="A287:A296" si="22">HYPERLINK("https://drive.google.com/drive/folders/1TIgWaeClgWT_zJYK14YOz-37GitImnx_", "03 - MAR - 26 / 02/03 - SEG")</f>
        <v>03 - MAR - 26 / 02/03 - SEG</v>
      </c>
      <c r="B287" s="59" t="s">
        <v>2280</v>
      </c>
      <c r="C287" s="59" t="s">
        <v>86</v>
      </c>
      <c r="D287" s="60" t="s">
        <v>378</v>
      </c>
      <c r="E287" s="60" t="s">
        <v>378</v>
      </c>
      <c r="F287" s="60"/>
      <c r="G287" s="61" t="s">
        <v>2281</v>
      </c>
      <c r="H287" s="63" t="s">
        <v>2282</v>
      </c>
      <c r="I287" s="62">
        <v>46080.0</v>
      </c>
    </row>
    <row r="288" ht="15.75" customHeight="1">
      <c r="A288" s="29" t="str">
        <f t="shared" si="22"/>
        <v>03 - MAR - 26 / 02/03 - SEG</v>
      </c>
      <c r="B288" s="55" t="s">
        <v>2283</v>
      </c>
      <c r="C288" s="55" t="s">
        <v>86</v>
      </c>
      <c r="D288" s="56" t="s">
        <v>378</v>
      </c>
      <c r="E288" s="56" t="s">
        <v>378</v>
      </c>
      <c r="F288" s="56"/>
      <c r="G288" s="57" t="s">
        <v>2284</v>
      </c>
      <c r="H288" s="64" t="s">
        <v>2285</v>
      </c>
      <c r="I288" s="58">
        <v>46080.0</v>
      </c>
    </row>
    <row r="289" ht="15.75" customHeight="1">
      <c r="A289" s="29" t="str">
        <f t="shared" si="22"/>
        <v>03 - MAR - 26 / 02/03 - SEG</v>
      </c>
      <c r="B289" s="55" t="s">
        <v>2286</v>
      </c>
      <c r="C289" s="55" t="s">
        <v>602</v>
      </c>
      <c r="D289" s="56" t="s">
        <v>378</v>
      </c>
      <c r="E289" s="56" t="s">
        <v>378</v>
      </c>
      <c r="F289" s="56"/>
      <c r="G289" s="57" t="s">
        <v>2287</v>
      </c>
      <c r="H289" s="64" t="s">
        <v>2288</v>
      </c>
      <c r="I289" s="58">
        <v>46080.0</v>
      </c>
    </row>
    <row r="290" ht="15.75" customHeight="1">
      <c r="A290" s="29" t="str">
        <f t="shared" si="22"/>
        <v>03 - MAR - 26 / 02/03 - SEG</v>
      </c>
      <c r="B290" s="55" t="s">
        <v>2289</v>
      </c>
      <c r="C290" s="55" t="s">
        <v>602</v>
      </c>
      <c r="D290" s="56" t="s">
        <v>378</v>
      </c>
      <c r="E290" s="56" t="s">
        <v>378</v>
      </c>
      <c r="F290" s="56"/>
      <c r="G290" s="57" t="s">
        <v>2290</v>
      </c>
      <c r="H290" s="64" t="s">
        <v>2291</v>
      </c>
      <c r="I290" s="58">
        <v>46080.0</v>
      </c>
    </row>
    <row r="291" ht="15.75" customHeight="1">
      <c r="A291" s="29" t="str">
        <f t="shared" si="22"/>
        <v>03 - MAR - 26 / 02/03 - SEG</v>
      </c>
      <c r="B291" s="55" t="s">
        <v>2292</v>
      </c>
      <c r="C291" s="55" t="s">
        <v>602</v>
      </c>
      <c r="D291" s="56" t="s">
        <v>378</v>
      </c>
      <c r="E291" s="56" t="s">
        <v>378</v>
      </c>
      <c r="F291" s="56"/>
      <c r="G291" s="57" t="s">
        <v>2293</v>
      </c>
      <c r="H291" s="64" t="s">
        <v>2294</v>
      </c>
      <c r="I291" s="58">
        <v>46080.0</v>
      </c>
    </row>
    <row r="292" ht="15.75" customHeight="1">
      <c r="A292" s="29" t="str">
        <f t="shared" si="22"/>
        <v>03 - MAR - 26 / 02/03 - SEG</v>
      </c>
      <c r="B292" s="55" t="s">
        <v>2295</v>
      </c>
      <c r="C292" s="55" t="s">
        <v>602</v>
      </c>
      <c r="D292" s="56" t="s">
        <v>378</v>
      </c>
      <c r="E292" s="56" t="s">
        <v>378</v>
      </c>
      <c r="F292" s="56"/>
      <c r="G292" s="57" t="s">
        <v>2296</v>
      </c>
      <c r="H292" s="64" t="s">
        <v>2297</v>
      </c>
      <c r="I292" s="58">
        <v>46080.0</v>
      </c>
    </row>
    <row r="293" ht="15.75" customHeight="1">
      <c r="A293" s="29" t="str">
        <f t="shared" si="22"/>
        <v>03 - MAR - 26 / 02/03 - SEG</v>
      </c>
      <c r="B293" s="55" t="s">
        <v>2298</v>
      </c>
      <c r="C293" s="55" t="s">
        <v>602</v>
      </c>
      <c r="D293" s="56" t="s">
        <v>378</v>
      </c>
      <c r="E293" s="56" t="s">
        <v>378</v>
      </c>
      <c r="F293" s="56"/>
      <c r="G293" s="57" t="s">
        <v>2299</v>
      </c>
      <c r="H293" s="64" t="s">
        <v>2300</v>
      </c>
      <c r="I293" s="58">
        <v>46080.0</v>
      </c>
    </row>
    <row r="294" ht="15.75" customHeight="1">
      <c r="A294" s="29" t="str">
        <f t="shared" si="22"/>
        <v>03 - MAR - 26 / 02/03 - SEG</v>
      </c>
      <c r="B294" s="55" t="s">
        <v>2301</v>
      </c>
      <c r="C294" s="55" t="s">
        <v>602</v>
      </c>
      <c r="D294" s="56" t="s">
        <v>378</v>
      </c>
      <c r="E294" s="56" t="s">
        <v>378</v>
      </c>
      <c r="F294" s="56"/>
      <c r="G294" s="57" t="s">
        <v>2302</v>
      </c>
      <c r="H294" s="64" t="s">
        <v>2303</v>
      </c>
      <c r="I294" s="58">
        <v>46080.0</v>
      </c>
    </row>
    <row r="295" ht="15.75" customHeight="1">
      <c r="A295" s="29" t="str">
        <f t="shared" si="22"/>
        <v>03 - MAR - 26 / 02/03 - SEG</v>
      </c>
      <c r="B295" s="55" t="s">
        <v>2304</v>
      </c>
      <c r="C295" s="55" t="s">
        <v>602</v>
      </c>
      <c r="D295" s="56" t="s">
        <v>378</v>
      </c>
      <c r="E295" s="56" t="s">
        <v>378</v>
      </c>
      <c r="F295" s="56"/>
      <c r="G295" s="57" t="s">
        <v>2305</v>
      </c>
      <c r="H295" s="64" t="s">
        <v>2306</v>
      </c>
      <c r="I295" s="58">
        <v>46080.0</v>
      </c>
    </row>
    <row r="296" ht="15.75" customHeight="1">
      <c r="A296" s="29" t="str">
        <f t="shared" si="22"/>
        <v>03 - MAR - 26 / 02/03 - SEG</v>
      </c>
      <c r="B296" s="55" t="s">
        <v>2307</v>
      </c>
      <c r="C296" s="55" t="s">
        <v>86</v>
      </c>
      <c r="D296" s="56" t="s">
        <v>378</v>
      </c>
      <c r="E296" s="56" t="s">
        <v>378</v>
      </c>
      <c r="F296" s="56"/>
      <c r="G296" s="57" t="s">
        <v>2308</v>
      </c>
      <c r="H296" s="64" t="s">
        <v>2309</v>
      </c>
      <c r="I296" s="58">
        <v>46079.0</v>
      </c>
    </row>
    <row r="297" ht="15.75" customHeight="1">
      <c r="A297" s="15"/>
      <c r="B297" s="15"/>
      <c r="C297" s="15"/>
      <c r="D297" s="56"/>
      <c r="E297" s="56"/>
      <c r="F297" s="56"/>
      <c r="G297" s="57"/>
      <c r="H297" s="56"/>
      <c r="I297" s="56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</row>
    <row r="299" ht="15.75" customHeight="1">
      <c r="A299" s="15"/>
      <c r="B299" s="15"/>
      <c r="C299" s="15"/>
      <c r="D299" s="56"/>
      <c r="E299" s="56"/>
      <c r="F299" s="56"/>
      <c r="G299" s="57"/>
      <c r="H299" s="56"/>
      <c r="I299" s="56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</row>
    <row r="301" ht="15.75" customHeight="1">
      <c r="A301" s="15"/>
      <c r="B301" s="15"/>
      <c r="C301" s="15"/>
      <c r="D301" s="56"/>
      <c r="E301" s="56"/>
      <c r="F301" s="56"/>
      <c r="G301" s="57"/>
      <c r="H301" s="56"/>
      <c r="I301" s="56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</row>
    <row r="303" ht="15.75" customHeight="1">
      <c r="A303" s="15"/>
      <c r="B303" s="15"/>
      <c r="C303" s="15"/>
      <c r="D303" s="56"/>
      <c r="E303" s="56"/>
      <c r="F303" s="56"/>
      <c r="G303" s="57"/>
      <c r="H303" s="56"/>
      <c r="I303" s="56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</row>
    <row r="305" ht="15.75" customHeight="1">
      <c r="A305" s="15"/>
      <c r="B305" s="15"/>
      <c r="C305" s="15"/>
      <c r="D305" s="56"/>
      <c r="E305" s="56"/>
      <c r="F305" s="56"/>
      <c r="G305" s="57"/>
      <c r="H305" s="56"/>
      <c r="I305" s="56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</row>
    <row r="307" ht="15.75" customHeight="1">
      <c r="A307" s="15"/>
      <c r="B307" s="15"/>
      <c r="C307" s="15"/>
      <c r="D307" s="56"/>
      <c r="E307" s="56"/>
      <c r="F307" s="56"/>
      <c r="G307" s="57"/>
      <c r="H307" s="56"/>
      <c r="I307" s="56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</row>
    <row r="309" ht="15.75" customHeight="1">
      <c r="A309" s="15"/>
      <c r="B309" s="15"/>
      <c r="C309" s="15"/>
      <c r="D309" s="56"/>
      <c r="E309" s="56"/>
      <c r="F309" s="56"/>
      <c r="G309" s="57"/>
      <c r="H309" s="56"/>
      <c r="I309" s="56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</row>
    <row r="311" ht="15.75" customHeight="1">
      <c r="A311" s="15"/>
      <c r="B311" s="15"/>
      <c r="C311" s="15"/>
      <c r="D311" s="56"/>
      <c r="E311" s="56"/>
      <c r="F311" s="56"/>
      <c r="G311" s="57"/>
      <c r="H311" s="56"/>
      <c r="I311" s="56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</row>
    <row r="313" ht="15.75" customHeight="1">
      <c r="A313" s="15"/>
      <c r="B313" s="15"/>
      <c r="C313" s="15"/>
      <c r="D313" s="56"/>
      <c r="E313" s="56"/>
      <c r="F313" s="56"/>
      <c r="G313" s="57"/>
      <c r="H313" s="56"/>
      <c r="I313" s="56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</row>
    <row r="315" ht="15.75" customHeight="1">
      <c r="A315" s="15"/>
      <c r="B315" s="15"/>
      <c r="C315" s="15"/>
      <c r="D315" s="56"/>
      <c r="E315" s="56"/>
      <c r="F315" s="56"/>
      <c r="G315" s="57"/>
      <c r="H315" s="56"/>
      <c r="I315" s="56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</row>
    <row r="317" ht="15.75" customHeight="1">
      <c r="A317" s="15"/>
      <c r="B317" s="15"/>
      <c r="C317" s="15"/>
      <c r="D317" s="56"/>
      <c r="E317" s="56"/>
      <c r="F317" s="56"/>
      <c r="G317" s="57"/>
      <c r="H317" s="56"/>
      <c r="I317" s="56"/>
    </row>
    <row r="318" ht="15.75" customHeight="1">
      <c r="A318" s="55"/>
      <c r="B318" s="55"/>
      <c r="C318" s="55"/>
      <c r="D318" s="56"/>
      <c r="E318" s="56"/>
      <c r="F318" s="56"/>
      <c r="G318" s="57"/>
      <c r="H318" s="56"/>
      <c r="I318" s="56"/>
    </row>
    <row r="319" ht="15.75" customHeight="1">
      <c r="A319" s="15"/>
      <c r="B319" s="15"/>
      <c r="C319" s="15"/>
      <c r="D319" s="56"/>
      <c r="E319" s="56"/>
      <c r="F319" s="56"/>
      <c r="G319" s="57"/>
      <c r="H319" s="56"/>
      <c r="I319" s="56"/>
    </row>
    <row r="320" ht="15.75" customHeight="1">
      <c r="A320" s="55"/>
      <c r="B320" s="55"/>
      <c r="C320" s="55"/>
      <c r="D320" s="56"/>
      <c r="E320" s="56"/>
      <c r="F320" s="56"/>
      <c r="G320" s="57"/>
      <c r="H320" s="56"/>
      <c r="I320" s="56"/>
    </row>
    <row r="321" ht="15.75" customHeight="1">
      <c r="A321" s="15"/>
      <c r="B321" s="15"/>
      <c r="C321" s="15"/>
      <c r="D321" s="56"/>
      <c r="E321" s="56"/>
      <c r="F321" s="56"/>
      <c r="G321" s="57"/>
      <c r="H321" s="56"/>
      <c r="I321" s="56"/>
    </row>
    <row r="322" ht="15.75" customHeight="1">
      <c r="A322" s="55"/>
      <c r="B322" s="55"/>
      <c r="C322" s="55"/>
      <c r="D322" s="56"/>
      <c r="E322" s="56"/>
      <c r="F322" s="56"/>
      <c r="G322" s="57"/>
      <c r="H322" s="56"/>
      <c r="I322" s="56"/>
    </row>
    <row r="323" ht="15.75" customHeight="1">
      <c r="A323" s="15"/>
      <c r="B323" s="15"/>
      <c r="C323" s="15"/>
      <c r="D323" s="56"/>
      <c r="E323" s="56"/>
      <c r="F323" s="56"/>
      <c r="G323" s="57"/>
      <c r="H323" s="56"/>
      <c r="I323" s="56"/>
    </row>
    <row r="324" ht="15.75" customHeight="1">
      <c r="A324" s="55"/>
      <c r="B324" s="55"/>
      <c r="C324" s="55"/>
      <c r="D324" s="56"/>
      <c r="E324" s="56"/>
      <c r="F324" s="56"/>
      <c r="G324" s="57"/>
      <c r="H324" s="56"/>
      <c r="I324" s="56"/>
    </row>
    <row r="325" ht="15.75" customHeight="1">
      <c r="A325" s="15"/>
      <c r="B325" s="15"/>
      <c r="C325" s="15"/>
      <c r="D325" s="56"/>
      <c r="E325" s="56"/>
      <c r="F325" s="56"/>
      <c r="G325" s="57"/>
      <c r="H325" s="56"/>
      <c r="I325" s="56"/>
    </row>
    <row r="326" ht="15.75" customHeight="1">
      <c r="A326" s="55"/>
      <c r="B326" s="55"/>
      <c r="C326" s="55"/>
      <c r="D326" s="56"/>
      <c r="E326" s="56"/>
      <c r="F326" s="56"/>
      <c r="G326" s="57"/>
      <c r="H326" s="56"/>
      <c r="I326" s="56"/>
    </row>
    <row r="327" ht="15.75" customHeight="1">
      <c r="A327" s="15"/>
      <c r="B327" s="15"/>
      <c r="C327" s="15"/>
      <c r="D327" s="56"/>
      <c r="E327" s="56"/>
      <c r="F327" s="56"/>
      <c r="G327" s="57"/>
      <c r="H327" s="56"/>
      <c r="I327" s="56"/>
    </row>
    <row r="328" ht="15.75" customHeight="1">
      <c r="A328" s="55"/>
      <c r="B328" s="55"/>
      <c r="C328" s="55"/>
      <c r="D328" s="56"/>
      <c r="E328" s="56"/>
      <c r="F328" s="56"/>
      <c r="G328" s="57"/>
      <c r="H328" s="56"/>
      <c r="I328" s="56"/>
    </row>
    <row r="329" ht="15.75" customHeight="1">
      <c r="A329" s="15"/>
      <c r="B329" s="15"/>
      <c r="C329" s="15"/>
      <c r="D329" s="56"/>
      <c r="E329" s="56"/>
      <c r="F329" s="56"/>
      <c r="G329" s="57"/>
      <c r="H329" s="56"/>
      <c r="I329" s="56"/>
    </row>
    <row r="330" ht="15.75" customHeight="1">
      <c r="A330" s="55"/>
      <c r="B330" s="55"/>
      <c r="C330" s="55"/>
      <c r="D330" s="56"/>
      <c r="E330" s="56"/>
      <c r="F330" s="56"/>
      <c r="G330" s="57"/>
      <c r="H330" s="56"/>
      <c r="I330" s="56"/>
    </row>
    <row r="331" ht="15.75" customHeight="1">
      <c r="A331" s="15"/>
      <c r="B331" s="15"/>
      <c r="C331" s="15"/>
      <c r="D331" s="56"/>
      <c r="E331" s="56"/>
      <c r="F331" s="56"/>
      <c r="G331" s="57"/>
      <c r="H331" s="56"/>
      <c r="I331" s="56"/>
    </row>
    <row r="332" ht="15.75" customHeight="1">
      <c r="A332" s="55"/>
      <c r="B332" s="55"/>
      <c r="C332" s="55"/>
      <c r="D332" s="56"/>
      <c r="E332" s="56"/>
      <c r="F332" s="56"/>
      <c r="G332" s="57"/>
      <c r="H332" s="56"/>
      <c r="I332" s="56"/>
    </row>
    <row r="333" ht="15.75" customHeight="1">
      <c r="A333" s="15"/>
      <c r="B333" s="15"/>
      <c r="C333" s="15"/>
      <c r="D333" s="56"/>
      <c r="E333" s="56"/>
      <c r="F333" s="56"/>
      <c r="G333" s="57"/>
      <c r="H333" s="56"/>
      <c r="I333" s="56"/>
    </row>
    <row r="334" ht="15.75" customHeight="1">
      <c r="A334" s="55"/>
      <c r="B334" s="55"/>
      <c r="C334" s="55"/>
      <c r="D334" s="56"/>
      <c r="E334" s="56"/>
      <c r="F334" s="56"/>
      <c r="G334" s="57"/>
      <c r="H334" s="56"/>
      <c r="I334" s="56"/>
    </row>
    <row r="335" ht="15.75" customHeight="1">
      <c r="A335" s="15"/>
      <c r="B335" s="15"/>
      <c r="C335" s="15"/>
      <c r="D335" s="56"/>
      <c r="E335" s="56"/>
      <c r="F335" s="56"/>
      <c r="G335" s="57"/>
      <c r="H335" s="56"/>
      <c r="I335" s="56"/>
    </row>
    <row r="336" ht="15.75" customHeight="1">
      <c r="A336" s="55"/>
      <c r="B336" s="55"/>
      <c r="C336" s="55"/>
      <c r="D336" s="56"/>
      <c r="E336" s="56"/>
      <c r="F336" s="56"/>
      <c r="G336" s="57"/>
      <c r="H336" s="56"/>
      <c r="I336" s="56"/>
    </row>
    <row r="337" ht="15.75" customHeight="1">
      <c r="A337" s="15"/>
      <c r="B337" s="15"/>
      <c r="C337" s="15"/>
      <c r="D337" s="56"/>
      <c r="E337" s="56"/>
      <c r="F337" s="56"/>
      <c r="G337" s="57"/>
      <c r="H337" s="56"/>
      <c r="I337" s="56"/>
    </row>
    <row r="338" ht="15.75" customHeight="1">
      <c r="A338" s="55"/>
      <c r="B338" s="55"/>
      <c r="C338" s="55"/>
      <c r="D338" s="56"/>
      <c r="E338" s="56"/>
      <c r="F338" s="56"/>
      <c r="G338" s="57"/>
      <c r="H338" s="56"/>
      <c r="I338" s="56"/>
    </row>
    <row r="339" ht="15.75" customHeight="1">
      <c r="A339" s="15"/>
      <c r="B339" s="15"/>
      <c r="C339" s="15"/>
      <c r="D339" s="56"/>
      <c r="E339" s="56"/>
      <c r="F339" s="56"/>
      <c r="G339" s="57"/>
      <c r="H339" s="56"/>
      <c r="I339" s="56"/>
    </row>
    <row r="340" ht="15.75" customHeight="1">
      <c r="A340" s="55"/>
      <c r="B340" s="55"/>
      <c r="C340" s="55"/>
      <c r="D340" s="56"/>
      <c r="E340" s="56"/>
      <c r="F340" s="56"/>
      <c r="G340" s="57"/>
      <c r="H340" s="56"/>
      <c r="I340" s="56"/>
    </row>
    <row r="341" ht="15.75" customHeight="1">
      <c r="A341" s="15"/>
      <c r="B341" s="15"/>
      <c r="C341" s="15"/>
      <c r="D341" s="56"/>
      <c r="E341" s="56"/>
      <c r="F341" s="56"/>
      <c r="G341" s="57"/>
      <c r="H341" s="56"/>
      <c r="I341" s="56"/>
    </row>
    <row r="342" ht="15.75" customHeight="1">
      <c r="A342" s="55"/>
      <c r="B342" s="55"/>
      <c r="C342" s="55"/>
      <c r="D342" s="56"/>
      <c r="E342" s="56"/>
      <c r="F342" s="56"/>
      <c r="G342" s="57"/>
      <c r="H342" s="56"/>
      <c r="I342" s="56"/>
    </row>
    <row r="343" ht="15.75" customHeight="1">
      <c r="A343" s="15"/>
      <c r="B343" s="15"/>
      <c r="C343" s="15"/>
      <c r="D343" s="56"/>
      <c r="E343" s="56"/>
      <c r="F343" s="56"/>
      <c r="G343" s="57"/>
      <c r="H343" s="56"/>
      <c r="I343" s="56"/>
    </row>
    <row r="344" ht="15.75" customHeight="1">
      <c r="A344" s="55"/>
      <c r="B344" s="55"/>
      <c r="C344" s="55"/>
      <c r="D344" s="56"/>
      <c r="E344" s="56"/>
      <c r="F344" s="56"/>
      <c r="G344" s="57"/>
      <c r="H344" s="56"/>
      <c r="I344" s="56"/>
    </row>
    <row r="345" ht="15.75" customHeight="1">
      <c r="A345" s="15"/>
      <c r="B345" s="15"/>
      <c r="C345" s="15"/>
      <c r="D345" s="56"/>
      <c r="E345" s="56"/>
      <c r="F345" s="56"/>
      <c r="G345" s="57"/>
      <c r="H345" s="56"/>
      <c r="I345" s="56"/>
    </row>
    <row r="346" ht="15.75" customHeight="1">
      <c r="A346" s="55"/>
      <c r="B346" s="55"/>
      <c r="C346" s="55"/>
      <c r="D346" s="56"/>
      <c r="E346" s="56"/>
      <c r="F346" s="56"/>
      <c r="G346" s="57"/>
      <c r="H346" s="56"/>
      <c r="I346" s="56"/>
    </row>
    <row r="347" ht="15.75" customHeight="1">
      <c r="A347" s="15"/>
      <c r="B347" s="15"/>
      <c r="C347" s="15"/>
      <c r="D347" s="56"/>
      <c r="E347" s="56"/>
      <c r="F347" s="56"/>
      <c r="G347" s="57"/>
      <c r="H347" s="56"/>
      <c r="I347" s="56"/>
    </row>
    <row r="348" ht="15.75" customHeight="1">
      <c r="A348" s="55"/>
      <c r="B348" s="55"/>
      <c r="C348" s="55"/>
      <c r="D348" s="56"/>
      <c r="E348" s="56"/>
      <c r="F348" s="56"/>
      <c r="G348" s="57"/>
      <c r="H348" s="56"/>
      <c r="I348" s="56"/>
    </row>
    <row r="349" ht="15.75" customHeight="1">
      <c r="A349" s="15"/>
      <c r="B349" s="15"/>
      <c r="C349" s="15"/>
      <c r="D349" s="56"/>
      <c r="E349" s="56"/>
      <c r="F349" s="56"/>
      <c r="G349" s="57"/>
      <c r="H349" s="56"/>
      <c r="I349" s="56"/>
    </row>
    <row r="350" ht="15.75" customHeight="1">
      <c r="A350" s="55"/>
      <c r="B350" s="55"/>
      <c r="C350" s="55"/>
      <c r="D350" s="56"/>
      <c r="E350" s="56"/>
      <c r="F350" s="56"/>
      <c r="G350" s="57"/>
      <c r="H350" s="56"/>
      <c r="I350" s="56"/>
    </row>
    <row r="351" ht="15.75" customHeight="1">
      <c r="A351" s="15"/>
      <c r="B351" s="15"/>
      <c r="C351" s="15"/>
      <c r="D351" s="56"/>
      <c r="E351" s="56"/>
      <c r="F351" s="56"/>
      <c r="G351" s="57"/>
      <c r="H351" s="56"/>
      <c r="I351" s="56"/>
    </row>
    <row r="352" ht="15.75" customHeight="1">
      <c r="A352" s="55"/>
      <c r="B352" s="55"/>
      <c r="C352" s="55"/>
      <c r="D352" s="56"/>
      <c r="E352" s="56"/>
      <c r="F352" s="56"/>
      <c r="G352" s="57"/>
      <c r="H352" s="56"/>
      <c r="I352" s="56"/>
    </row>
    <row r="353" ht="15.75" customHeight="1">
      <c r="A353" s="15"/>
      <c r="B353" s="15"/>
      <c r="C353" s="15"/>
      <c r="D353" s="56"/>
      <c r="E353" s="56"/>
      <c r="F353" s="56"/>
      <c r="G353" s="57"/>
      <c r="H353" s="56"/>
      <c r="I353" s="56"/>
    </row>
    <row r="354" ht="15.75" customHeight="1">
      <c r="A354" s="55"/>
      <c r="B354" s="55"/>
      <c r="C354" s="55"/>
      <c r="D354" s="56"/>
      <c r="E354" s="56"/>
      <c r="F354" s="56"/>
      <c r="G354" s="57"/>
      <c r="H354" s="56"/>
      <c r="I354" s="56"/>
    </row>
    <row r="355" ht="15.75" customHeight="1">
      <c r="A355" s="15"/>
      <c r="B355" s="15"/>
      <c r="C355" s="15"/>
      <c r="D355" s="56"/>
      <c r="E355" s="56"/>
      <c r="F355" s="56"/>
      <c r="G355" s="57"/>
      <c r="H355" s="56"/>
      <c r="I355" s="56"/>
    </row>
    <row r="356" ht="15.75" customHeight="1">
      <c r="A356" s="55"/>
      <c r="B356" s="55"/>
      <c r="C356" s="55"/>
      <c r="D356" s="56"/>
      <c r="E356" s="56"/>
      <c r="F356" s="56"/>
      <c r="G356" s="57"/>
      <c r="H356" s="56"/>
      <c r="I356" s="56"/>
    </row>
    <row r="357" ht="15.75" customHeight="1">
      <c r="A357" s="15"/>
      <c r="B357" s="15"/>
      <c r="C357" s="15"/>
      <c r="D357" s="56"/>
      <c r="E357" s="56"/>
      <c r="F357" s="56"/>
      <c r="G357" s="57"/>
      <c r="H357" s="56"/>
      <c r="I357" s="56"/>
    </row>
    <row r="358" ht="15.75" customHeight="1">
      <c r="A358" s="55"/>
      <c r="B358" s="55"/>
      <c r="C358" s="55"/>
      <c r="D358" s="56"/>
      <c r="E358" s="56"/>
      <c r="F358" s="56"/>
      <c r="G358" s="57"/>
      <c r="H358" s="56"/>
      <c r="I358" s="56"/>
    </row>
    <row r="359" ht="15.75" customHeight="1">
      <c r="A359" s="15"/>
      <c r="B359" s="15"/>
      <c r="C359" s="15"/>
      <c r="D359" s="56"/>
      <c r="E359" s="56"/>
      <c r="F359" s="56"/>
      <c r="G359" s="57"/>
      <c r="H359" s="56"/>
      <c r="I359" s="56"/>
    </row>
    <row r="360" ht="15.75" customHeight="1">
      <c r="A360" s="55"/>
      <c r="B360" s="55"/>
      <c r="C360" s="55"/>
      <c r="D360" s="56"/>
      <c r="E360" s="56"/>
      <c r="F360" s="56"/>
      <c r="G360" s="57"/>
      <c r="H360" s="56"/>
      <c r="I360" s="56"/>
    </row>
    <row r="361" ht="15.75" customHeight="1">
      <c r="A361" s="15"/>
      <c r="B361" s="15"/>
      <c r="C361" s="15"/>
      <c r="D361" s="56"/>
      <c r="E361" s="56"/>
      <c r="F361" s="56"/>
      <c r="G361" s="57"/>
      <c r="H361" s="56"/>
      <c r="I361" s="56"/>
    </row>
    <row r="362" ht="15.75" customHeight="1">
      <c r="A362" s="55"/>
      <c r="B362" s="55"/>
      <c r="C362" s="55"/>
      <c r="D362" s="56"/>
      <c r="E362" s="56"/>
      <c r="F362" s="56"/>
      <c r="G362" s="57"/>
      <c r="H362" s="56"/>
      <c r="I362" s="56"/>
    </row>
    <row r="363" ht="15.75" customHeight="1">
      <c r="A363" s="15"/>
      <c r="B363" s="15"/>
      <c r="C363" s="15"/>
      <c r="D363" s="56"/>
      <c r="E363" s="56"/>
      <c r="F363" s="56"/>
      <c r="G363" s="57"/>
      <c r="H363" s="56"/>
      <c r="I363" s="56"/>
    </row>
    <row r="364" ht="15.75" customHeight="1">
      <c r="A364" s="55"/>
      <c r="B364" s="55"/>
      <c r="C364" s="55"/>
      <c r="D364" s="56"/>
      <c r="E364" s="56"/>
      <c r="F364" s="56"/>
      <c r="G364" s="57"/>
      <c r="H364" s="56"/>
      <c r="I364" s="56"/>
    </row>
    <row r="365" ht="15.75" customHeight="1">
      <c r="A365" s="15"/>
      <c r="B365" s="15"/>
      <c r="C365" s="15"/>
      <c r="D365" s="56"/>
      <c r="E365" s="56"/>
      <c r="F365" s="56"/>
      <c r="G365" s="57"/>
      <c r="H365" s="56"/>
      <c r="I365" s="56"/>
    </row>
    <row r="366" ht="15.75" customHeight="1">
      <c r="A366" s="55"/>
      <c r="B366" s="55"/>
      <c r="C366" s="55"/>
      <c r="D366" s="56"/>
      <c r="E366" s="56"/>
      <c r="F366" s="56"/>
      <c r="G366" s="57"/>
      <c r="H366" s="56"/>
      <c r="I366" s="56"/>
    </row>
    <row r="367" ht="15.75" customHeight="1">
      <c r="A367" s="15"/>
      <c r="B367" s="15"/>
      <c r="C367" s="15"/>
      <c r="D367" s="56"/>
      <c r="E367" s="56"/>
      <c r="F367" s="56"/>
      <c r="G367" s="57"/>
      <c r="H367" s="56"/>
      <c r="I367" s="56"/>
    </row>
    <row r="368" ht="15.75" customHeight="1">
      <c r="A368" s="55"/>
      <c r="B368" s="55"/>
      <c r="C368" s="55"/>
      <c r="D368" s="56"/>
      <c r="E368" s="56"/>
      <c r="F368" s="56"/>
      <c r="G368" s="57"/>
      <c r="H368" s="56"/>
      <c r="I368" s="56"/>
    </row>
    <row r="369" ht="15.75" customHeight="1">
      <c r="A369" s="15"/>
      <c r="B369" s="15"/>
      <c r="C369" s="15"/>
      <c r="D369" s="56"/>
      <c r="E369" s="56"/>
      <c r="F369" s="56"/>
      <c r="G369" s="57"/>
      <c r="H369" s="56"/>
      <c r="I369" s="56"/>
    </row>
    <row r="370" ht="15.75" customHeight="1">
      <c r="A370" s="65" t="s">
        <v>2310</v>
      </c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G1"/>
    <mergeCell ref="A370:I370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78"/>
    <hyperlink r:id="rId2" ref="H79"/>
    <hyperlink r:id="rId3" ref="H80"/>
    <hyperlink r:id="rId4" ref="H81"/>
    <hyperlink r:id="rId5" ref="H82"/>
    <hyperlink r:id="rId6" ref="H83"/>
    <hyperlink r:id="rId7" ref="H84"/>
    <hyperlink r:id="rId8" ref="H85"/>
    <hyperlink r:id="rId9" ref="H86"/>
    <hyperlink r:id="rId10" ref="H87"/>
    <hyperlink r:id="rId11" ref="H88"/>
    <hyperlink r:id="rId12" ref="H89"/>
    <hyperlink r:id="rId13" ref="H90"/>
    <hyperlink r:id="rId14" ref="H91"/>
    <hyperlink r:id="rId15" ref="H92"/>
    <hyperlink r:id="rId16" ref="H93"/>
    <hyperlink r:id="rId17" ref="H94"/>
    <hyperlink r:id="rId18" ref="H95"/>
    <hyperlink r:id="rId19" ref="H96"/>
    <hyperlink r:id="rId20" ref="H97"/>
    <hyperlink r:id="rId21" ref="H98"/>
    <hyperlink r:id="rId22" ref="H99"/>
    <hyperlink r:id="rId23" ref="H100"/>
    <hyperlink r:id="rId24" ref="H101"/>
    <hyperlink r:id="rId25" ref="H102"/>
    <hyperlink r:id="rId26" ref="H103"/>
    <hyperlink r:id="rId27" ref="H104"/>
    <hyperlink r:id="rId28" ref="H105"/>
    <hyperlink r:id="rId29" ref="H106"/>
    <hyperlink r:id="rId30" ref="H107"/>
    <hyperlink r:id="rId31" ref="H108"/>
    <hyperlink r:id="rId32" ref="H109"/>
    <hyperlink r:id="rId33" ref="H110"/>
    <hyperlink r:id="rId34" ref="H111"/>
    <hyperlink r:id="rId35" ref="H112"/>
    <hyperlink r:id="rId36" ref="H113"/>
    <hyperlink r:id="rId37" ref="H114"/>
    <hyperlink r:id="rId38" ref="H115"/>
    <hyperlink r:id="rId39" ref="H116"/>
    <hyperlink r:id="rId40" ref="H117"/>
    <hyperlink r:id="rId41" ref="H118"/>
    <hyperlink r:id="rId42" ref="H119"/>
    <hyperlink r:id="rId43" ref="H120"/>
    <hyperlink r:id="rId44" ref="H121"/>
    <hyperlink r:id="rId45" ref="H122"/>
    <hyperlink r:id="rId46" ref="H123"/>
    <hyperlink r:id="rId47" ref="H124"/>
    <hyperlink r:id="rId48" ref="H125"/>
    <hyperlink r:id="rId49" ref="H126"/>
    <hyperlink r:id="rId50" ref="H127"/>
    <hyperlink r:id="rId51" ref="H128"/>
    <hyperlink r:id="rId52" ref="H129"/>
    <hyperlink r:id="rId53" ref="H130"/>
    <hyperlink r:id="rId54" ref="H131"/>
    <hyperlink r:id="rId55" ref="H132"/>
    <hyperlink r:id="rId56" ref="H133"/>
    <hyperlink r:id="rId57" ref="H134"/>
    <hyperlink r:id="rId58" ref="H135"/>
    <hyperlink r:id="rId59" ref="H136"/>
    <hyperlink r:id="rId60" ref="H137"/>
    <hyperlink r:id="rId61" ref="H138"/>
    <hyperlink r:id="rId62" ref="H139"/>
    <hyperlink r:id="rId63" ref="H140"/>
    <hyperlink r:id="rId64" ref="H141"/>
    <hyperlink r:id="rId65" ref="H142"/>
    <hyperlink r:id="rId66" ref="H143"/>
    <hyperlink r:id="rId67" ref="H144"/>
    <hyperlink r:id="rId68" ref="H145"/>
    <hyperlink r:id="rId69" ref="H146"/>
    <hyperlink r:id="rId70" ref="H147"/>
    <hyperlink r:id="rId71" ref="H148"/>
    <hyperlink r:id="rId72" ref="H149"/>
    <hyperlink r:id="rId73" ref="H150"/>
    <hyperlink r:id="rId74" ref="H151"/>
    <hyperlink r:id="rId75" ref="H152"/>
    <hyperlink r:id="rId76" ref="H153"/>
    <hyperlink r:id="rId77" ref="H154"/>
    <hyperlink r:id="rId78" ref="H155"/>
    <hyperlink r:id="rId79" ref="H156"/>
    <hyperlink r:id="rId80" ref="H157"/>
    <hyperlink r:id="rId81" ref="H158"/>
    <hyperlink r:id="rId82" ref="H159"/>
    <hyperlink r:id="rId83" ref="H160"/>
    <hyperlink r:id="rId84" ref="H161"/>
    <hyperlink r:id="rId85" ref="H162"/>
    <hyperlink r:id="rId86" ref="H163"/>
    <hyperlink r:id="rId87" ref="H164"/>
    <hyperlink r:id="rId88" ref="H165"/>
    <hyperlink r:id="rId89" ref="H166"/>
    <hyperlink r:id="rId90" ref="H167"/>
    <hyperlink r:id="rId91" ref="H168"/>
    <hyperlink r:id="rId92" ref="H169"/>
    <hyperlink r:id="rId93" ref="H170"/>
    <hyperlink r:id="rId94" ref="H171"/>
    <hyperlink r:id="rId95" ref="H172"/>
    <hyperlink r:id="rId96" ref="H173"/>
    <hyperlink r:id="rId97" ref="H174"/>
    <hyperlink r:id="rId98" ref="H175"/>
    <hyperlink r:id="rId99" ref="H176"/>
    <hyperlink r:id="rId100" ref="H177"/>
    <hyperlink r:id="rId101" ref="H178"/>
    <hyperlink r:id="rId102" ref="H179"/>
    <hyperlink r:id="rId103" ref="H180"/>
    <hyperlink r:id="rId104" ref="H181"/>
    <hyperlink r:id="rId105" ref="H182"/>
    <hyperlink r:id="rId106" ref="H183"/>
    <hyperlink r:id="rId107" ref="H184"/>
    <hyperlink r:id="rId108" ref="H185"/>
    <hyperlink r:id="rId109" ref="H186"/>
    <hyperlink r:id="rId110" ref="H187"/>
    <hyperlink r:id="rId111" ref="H188"/>
    <hyperlink r:id="rId112" ref="H189"/>
    <hyperlink r:id="rId113" ref="H190"/>
    <hyperlink r:id="rId114" ref="H191"/>
    <hyperlink r:id="rId115" ref="H192"/>
    <hyperlink r:id="rId116" ref="H193"/>
    <hyperlink r:id="rId117" ref="H194"/>
    <hyperlink r:id="rId118" ref="H195"/>
    <hyperlink r:id="rId119" ref="H196"/>
    <hyperlink r:id="rId120" ref="H197"/>
    <hyperlink r:id="rId121" ref="H198"/>
    <hyperlink r:id="rId122" ref="H199"/>
    <hyperlink r:id="rId123" ref="H200"/>
    <hyperlink r:id="rId124" ref="H201"/>
    <hyperlink r:id="rId125" ref="H202"/>
    <hyperlink r:id="rId126" ref="H203"/>
    <hyperlink r:id="rId127" ref="H204"/>
    <hyperlink r:id="rId128" ref="H205"/>
    <hyperlink r:id="rId129" ref="H206"/>
    <hyperlink r:id="rId130" ref="H207"/>
    <hyperlink r:id="rId131" ref="H208"/>
    <hyperlink r:id="rId132" ref="H209"/>
    <hyperlink r:id="rId133" ref="H210"/>
    <hyperlink r:id="rId134" ref="H211"/>
    <hyperlink r:id="rId135" ref="H212"/>
    <hyperlink r:id="rId136" ref="H213"/>
    <hyperlink r:id="rId137" ref="H214"/>
    <hyperlink r:id="rId138" ref="H215"/>
    <hyperlink r:id="rId139" ref="H216"/>
    <hyperlink r:id="rId140" ref="H217"/>
    <hyperlink r:id="rId141" ref="H218"/>
    <hyperlink r:id="rId142" ref="H219"/>
    <hyperlink r:id="rId143" ref="H220"/>
    <hyperlink r:id="rId144" ref="H221"/>
    <hyperlink r:id="rId145" ref="H222"/>
    <hyperlink r:id="rId146" ref="H223"/>
    <hyperlink r:id="rId147" ref="H224"/>
    <hyperlink r:id="rId148" ref="H225"/>
    <hyperlink r:id="rId149" ref="H226"/>
    <hyperlink r:id="rId150" ref="H227"/>
    <hyperlink r:id="rId151" ref="H228"/>
    <hyperlink r:id="rId152" ref="H229"/>
    <hyperlink r:id="rId153" ref="H230"/>
    <hyperlink r:id="rId154" ref="H231"/>
    <hyperlink r:id="rId155" ref="H232"/>
    <hyperlink r:id="rId156" ref="H233"/>
    <hyperlink r:id="rId157" ref="H234"/>
    <hyperlink r:id="rId158" ref="H235"/>
    <hyperlink r:id="rId159" ref="H236"/>
    <hyperlink r:id="rId160" ref="H237"/>
    <hyperlink r:id="rId161" ref="H238"/>
    <hyperlink r:id="rId162" ref="H239"/>
    <hyperlink r:id="rId163" ref="H240"/>
    <hyperlink r:id="rId164" ref="H241"/>
    <hyperlink r:id="rId165" ref="H242"/>
    <hyperlink r:id="rId166" ref="H243"/>
    <hyperlink r:id="rId167" ref="H244"/>
    <hyperlink r:id="rId168" ref="H245"/>
    <hyperlink r:id="rId169" ref="H246"/>
    <hyperlink r:id="rId170" ref="H247"/>
    <hyperlink r:id="rId171" ref="H248"/>
    <hyperlink r:id="rId172" ref="H249"/>
    <hyperlink r:id="rId173" ref="H250"/>
    <hyperlink r:id="rId174" ref="H251"/>
    <hyperlink r:id="rId175" ref="H252"/>
    <hyperlink r:id="rId176" ref="H253"/>
    <hyperlink r:id="rId177" ref="H254"/>
    <hyperlink r:id="rId178" ref="H255"/>
    <hyperlink r:id="rId179" ref="H256"/>
    <hyperlink r:id="rId180" ref="H257"/>
    <hyperlink r:id="rId181" ref="H258"/>
    <hyperlink r:id="rId182" ref="H259"/>
    <hyperlink r:id="rId183" ref="H260"/>
    <hyperlink r:id="rId184" ref="H261"/>
    <hyperlink r:id="rId185" ref="H262"/>
    <hyperlink r:id="rId186" ref="H263"/>
    <hyperlink r:id="rId187" ref="H264"/>
    <hyperlink r:id="rId188" ref="H265"/>
    <hyperlink r:id="rId189" ref="H266"/>
    <hyperlink r:id="rId190" ref="H267"/>
    <hyperlink r:id="rId191" ref="H268"/>
    <hyperlink r:id="rId192" ref="H269"/>
    <hyperlink r:id="rId193" ref="H270"/>
    <hyperlink r:id="rId194" ref="H271"/>
    <hyperlink r:id="rId195" ref="H272"/>
    <hyperlink r:id="rId196" ref="H273"/>
    <hyperlink r:id="rId197" ref="H274"/>
    <hyperlink r:id="rId198" ref="H275"/>
    <hyperlink r:id="rId199" ref="H276"/>
    <hyperlink r:id="rId200" ref="H277"/>
    <hyperlink r:id="rId201" ref="H278"/>
    <hyperlink r:id="rId202" ref="H279"/>
    <hyperlink r:id="rId203" ref="H280"/>
    <hyperlink r:id="rId204" ref="H281"/>
    <hyperlink r:id="rId205" ref="H282"/>
    <hyperlink r:id="rId206" ref="H283"/>
    <hyperlink r:id="rId207" ref="H284"/>
    <hyperlink r:id="rId208" ref="H285"/>
    <hyperlink r:id="rId209" ref="H286"/>
    <hyperlink r:id="rId210" ref="H287"/>
    <hyperlink r:id="rId211" ref="H288"/>
    <hyperlink r:id="rId212" ref="H289"/>
    <hyperlink r:id="rId213" ref="H290"/>
    <hyperlink r:id="rId214" ref="H291"/>
    <hyperlink r:id="rId215" ref="H292"/>
    <hyperlink r:id="rId216" ref="H293"/>
    <hyperlink r:id="rId217" ref="H294"/>
    <hyperlink r:id="rId218" ref="H295"/>
    <hyperlink r:id="rId219" ref="H296"/>
  </hyperlinks>
  <printOptions/>
  <pageMargins bottom="1.0" footer="0.0" header="0.0" left="0.75" right="0.75" top="1.0"/>
  <pageSetup orientation="landscape"/>
  <drawing r:id="rId2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38"/>
    <col customWidth="1" min="2" max="2" width="48.0"/>
    <col customWidth="1" min="3" max="3" width="9.38"/>
    <col customWidth="1" min="4" max="4" width="15.88"/>
    <col customWidth="1" min="5" max="5" width="13.63"/>
    <col customWidth="1" min="6" max="6" width="10.0"/>
    <col customWidth="1" min="7" max="7" width="14.63"/>
    <col customWidth="1" min="8" max="8" width="44.38"/>
    <col customWidth="1" min="9" max="9" width="57.38"/>
    <col customWidth="1" min="10" max="10" width="17.75"/>
  </cols>
  <sheetData>
    <row r="1" ht="15.75" customHeight="1">
      <c r="A1" s="16" t="str">
        <f>"FEVEREIRO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FEVEREIRO DE 2026   •   RED [ ██████████ 100% ]   •   EDIT [ ██████████ 100% ]</v>
      </c>
      <c r="H1" s="17" t="s">
        <v>13</v>
      </c>
      <c r="I1" s="18" t="s">
        <v>14</v>
      </c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20">
        <v>10.0</v>
      </c>
      <c r="B3" s="21">
        <v>170.0</v>
      </c>
      <c r="C3" s="22">
        <f>COUNTA(B6:B1000)</f>
        <v>170</v>
      </c>
      <c r="D3" s="23">
        <f>COUNTIF(E6:E1000, "*✔*")</f>
        <v>170</v>
      </c>
      <c r="E3" s="24">
        <f>C3-D3</f>
        <v>0</v>
      </c>
      <c r="F3" s="25">
        <f>MAX(0, B3-C3)</f>
        <v>0</v>
      </c>
      <c r="G3" s="26">
        <f>180 + C3</f>
        <v>350</v>
      </c>
      <c r="H3" s="27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54" t="s">
        <v>22</v>
      </c>
      <c r="B5" s="54" t="s">
        <v>23</v>
      </c>
      <c r="C5" s="54" t="s">
        <v>24</v>
      </c>
      <c r="D5" s="54" t="s">
        <v>25</v>
      </c>
      <c r="E5" s="54" t="s">
        <v>26</v>
      </c>
      <c r="F5" s="54" t="s">
        <v>27</v>
      </c>
      <c r="G5" s="54" t="s">
        <v>28</v>
      </c>
      <c r="H5" s="54" t="s">
        <v>29</v>
      </c>
      <c r="I5" s="54" t="s">
        <v>30</v>
      </c>
      <c r="J5" s="67" t="s">
        <v>30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55" t="s">
        <v>2311</v>
      </c>
      <c r="B6" s="55"/>
      <c r="C6" s="55"/>
      <c r="D6" s="56"/>
      <c r="E6" s="56"/>
      <c r="F6" s="56"/>
      <c r="G6" s="57"/>
      <c r="H6" s="56"/>
      <c r="I6" s="58"/>
      <c r="J6" s="6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55" t="s">
        <v>2312</v>
      </c>
      <c r="B7" s="55"/>
      <c r="C7" s="55"/>
      <c r="D7" s="56"/>
      <c r="E7" s="56"/>
      <c r="F7" s="56"/>
      <c r="G7" s="57"/>
      <c r="H7" s="56"/>
      <c r="I7" s="58"/>
      <c r="J7" s="6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55" t="s">
        <v>2313</v>
      </c>
      <c r="B8" s="55"/>
      <c r="C8" s="55"/>
      <c r="D8" s="56"/>
      <c r="E8" s="56"/>
      <c r="F8" s="56"/>
      <c r="G8" s="57"/>
      <c r="H8" s="56"/>
      <c r="I8" s="58"/>
      <c r="J8" s="6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55" t="s">
        <v>2314</v>
      </c>
      <c r="B9" s="55"/>
      <c r="C9" s="55"/>
      <c r="D9" s="56"/>
      <c r="E9" s="56"/>
      <c r="F9" s="56"/>
      <c r="G9" s="57"/>
      <c r="H9" s="56"/>
      <c r="I9" s="58"/>
      <c r="J9" s="6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55" t="s">
        <v>2315</v>
      </c>
      <c r="B10" s="55"/>
      <c r="C10" s="55"/>
      <c r="D10" s="56"/>
      <c r="E10" s="56"/>
      <c r="F10" s="56"/>
      <c r="G10" s="57"/>
      <c r="H10" s="56"/>
      <c r="I10" s="58"/>
      <c r="J10" s="6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55" t="s">
        <v>2316</v>
      </c>
      <c r="B11" s="55"/>
      <c r="C11" s="55"/>
      <c r="D11" s="56"/>
      <c r="E11" s="56"/>
      <c r="F11" s="56"/>
      <c r="G11" s="57"/>
      <c r="H11" s="56"/>
      <c r="I11" s="58"/>
      <c r="J11" s="6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55" t="s">
        <v>2317</v>
      </c>
      <c r="B12" s="55"/>
      <c r="C12" s="55"/>
      <c r="D12" s="56"/>
      <c r="E12" s="56"/>
      <c r="F12" s="56"/>
      <c r="G12" s="57"/>
      <c r="H12" s="56"/>
      <c r="I12" s="58"/>
      <c r="J12" s="6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59" t="s">
        <v>1586</v>
      </c>
      <c r="B13" s="59"/>
      <c r="C13" s="59"/>
      <c r="D13" s="60"/>
      <c r="E13" s="60"/>
      <c r="F13" s="60"/>
      <c r="G13" s="61"/>
      <c r="H13" s="60"/>
      <c r="I13" s="62"/>
      <c r="J13" s="68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55" t="s">
        <v>2318</v>
      </c>
      <c r="B14" s="55"/>
      <c r="C14" s="55"/>
      <c r="D14" s="56"/>
      <c r="E14" s="56"/>
      <c r="F14" s="56"/>
      <c r="G14" s="57"/>
      <c r="H14" s="56"/>
      <c r="I14" s="58"/>
      <c r="J14" s="68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55" t="s">
        <v>1588</v>
      </c>
      <c r="B15" s="55"/>
      <c r="C15" s="55"/>
      <c r="D15" s="56"/>
      <c r="E15" s="56"/>
      <c r="F15" s="56"/>
      <c r="G15" s="57"/>
      <c r="H15" s="56"/>
      <c r="I15" s="58"/>
      <c r="J15" s="68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55" t="s">
        <v>2319</v>
      </c>
      <c r="B16" s="55"/>
      <c r="C16" s="55"/>
      <c r="D16" s="56"/>
      <c r="E16" s="56"/>
      <c r="F16" s="56"/>
      <c r="G16" s="57"/>
      <c r="H16" s="56"/>
      <c r="I16" s="58"/>
      <c r="J16" s="68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55" t="s">
        <v>2320</v>
      </c>
      <c r="B17" s="55"/>
      <c r="C17" s="55"/>
      <c r="D17" s="56"/>
      <c r="E17" s="56"/>
      <c r="F17" s="56"/>
      <c r="G17" s="57"/>
      <c r="H17" s="56"/>
      <c r="I17" s="58"/>
      <c r="J17" s="68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55" t="s">
        <v>1591</v>
      </c>
      <c r="B18" s="55"/>
      <c r="C18" s="55"/>
      <c r="D18" s="56"/>
      <c r="E18" s="56"/>
      <c r="F18" s="56"/>
      <c r="G18" s="57"/>
      <c r="H18" s="56"/>
      <c r="I18" s="58"/>
      <c r="J18" s="6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55" t="s">
        <v>2321</v>
      </c>
      <c r="B19" s="55"/>
      <c r="C19" s="55"/>
      <c r="D19" s="56"/>
      <c r="E19" s="56"/>
      <c r="F19" s="56"/>
      <c r="G19" s="57"/>
      <c r="H19" s="56"/>
      <c r="I19" s="58"/>
      <c r="J19" s="68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55" t="s">
        <v>1593</v>
      </c>
      <c r="B20" s="55"/>
      <c r="C20" s="55"/>
      <c r="D20" s="56"/>
      <c r="E20" s="56"/>
      <c r="F20" s="56"/>
      <c r="G20" s="57"/>
      <c r="H20" s="56"/>
      <c r="I20" s="58"/>
      <c r="J20" s="6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55" t="s">
        <v>2322</v>
      </c>
      <c r="B21" s="55"/>
      <c r="C21" s="55"/>
      <c r="D21" s="56"/>
      <c r="E21" s="56"/>
      <c r="F21" s="56"/>
      <c r="G21" s="57"/>
      <c r="H21" s="56"/>
      <c r="I21" s="58"/>
      <c r="J21" s="68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55" t="s">
        <v>2323</v>
      </c>
      <c r="B22" s="55"/>
      <c r="C22" s="55"/>
      <c r="D22" s="56"/>
      <c r="E22" s="56"/>
      <c r="F22" s="56"/>
      <c r="G22" s="57"/>
      <c r="H22" s="56"/>
      <c r="I22" s="58"/>
      <c r="J22" s="6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55" t="s">
        <v>2324</v>
      </c>
      <c r="B23" s="55"/>
      <c r="C23" s="55"/>
      <c r="D23" s="56"/>
      <c r="E23" s="56"/>
      <c r="F23" s="56"/>
      <c r="G23" s="57"/>
      <c r="H23" s="56"/>
      <c r="I23" s="58"/>
      <c r="J23" s="68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59" t="s">
        <v>2325</v>
      </c>
      <c r="B24" s="59"/>
      <c r="C24" s="59"/>
      <c r="D24" s="60"/>
      <c r="E24" s="60"/>
      <c r="F24" s="60"/>
      <c r="G24" s="61"/>
      <c r="H24" s="60"/>
      <c r="I24" s="62"/>
      <c r="J24" s="68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55" t="s">
        <v>2326</v>
      </c>
      <c r="B25" s="55"/>
      <c r="C25" s="55"/>
      <c r="D25" s="56"/>
      <c r="E25" s="56"/>
      <c r="F25" s="56"/>
      <c r="G25" s="57"/>
      <c r="H25" s="56"/>
      <c r="I25" s="58"/>
      <c r="J25" s="68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55" t="s">
        <v>1599</v>
      </c>
      <c r="B26" s="55"/>
      <c r="C26" s="55"/>
      <c r="D26" s="56"/>
      <c r="E26" s="56"/>
      <c r="F26" s="56"/>
      <c r="G26" s="57"/>
      <c r="H26" s="56"/>
      <c r="I26" s="58"/>
      <c r="J26" s="68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55" t="s">
        <v>2327</v>
      </c>
      <c r="B27" s="55"/>
      <c r="C27" s="55"/>
      <c r="D27" s="56"/>
      <c r="E27" s="56"/>
      <c r="F27" s="56"/>
      <c r="G27" s="57"/>
      <c r="H27" s="56"/>
      <c r="I27" s="58"/>
      <c r="J27" s="68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55" t="s">
        <v>1601</v>
      </c>
      <c r="B28" s="55"/>
      <c r="C28" s="55"/>
      <c r="D28" s="56"/>
      <c r="E28" s="56"/>
      <c r="F28" s="56"/>
      <c r="G28" s="57"/>
      <c r="H28" s="56"/>
      <c r="I28" s="58"/>
      <c r="J28" s="68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55" t="s">
        <v>2328</v>
      </c>
      <c r="B29" s="55"/>
      <c r="C29" s="55"/>
      <c r="D29" s="56"/>
      <c r="E29" s="56"/>
      <c r="F29" s="56"/>
      <c r="G29" s="57"/>
      <c r="H29" s="56"/>
      <c r="I29" s="58"/>
      <c r="J29" s="68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55" t="s">
        <v>2329</v>
      </c>
      <c r="B30" s="55"/>
      <c r="C30" s="55"/>
      <c r="D30" s="56"/>
      <c r="E30" s="56"/>
      <c r="F30" s="56"/>
      <c r="G30" s="57"/>
      <c r="H30" s="56"/>
      <c r="I30" s="58"/>
      <c r="J30" s="68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55" t="s">
        <v>1604</v>
      </c>
      <c r="B31" s="55"/>
      <c r="C31" s="55"/>
      <c r="D31" s="56"/>
      <c r="E31" s="56"/>
      <c r="F31" s="56"/>
      <c r="G31" s="57"/>
      <c r="H31" s="56"/>
      <c r="I31" s="58"/>
      <c r="J31" s="68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55" t="s">
        <v>2330</v>
      </c>
      <c r="B32" s="55"/>
      <c r="C32" s="55"/>
      <c r="D32" s="56"/>
      <c r="E32" s="56"/>
      <c r="F32" s="56"/>
      <c r="G32" s="57"/>
      <c r="H32" s="56"/>
      <c r="I32" s="58"/>
      <c r="J32" s="68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55" t="s">
        <v>2331</v>
      </c>
      <c r="B33" s="55"/>
      <c r="C33" s="55"/>
      <c r="D33" s="56"/>
      <c r="E33" s="56"/>
      <c r="F33" s="56"/>
      <c r="G33" s="57"/>
      <c r="H33" s="56"/>
      <c r="I33" s="58"/>
      <c r="J33" s="68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55" t="s">
        <v>1607</v>
      </c>
      <c r="B34" s="55"/>
      <c r="C34" s="55"/>
      <c r="D34" s="56"/>
      <c r="E34" s="56"/>
      <c r="F34" s="56"/>
      <c r="G34" s="57"/>
      <c r="H34" s="56"/>
      <c r="I34" s="58"/>
      <c r="J34" s="68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55" t="s">
        <v>1608</v>
      </c>
      <c r="B35" s="55"/>
      <c r="C35" s="55"/>
      <c r="D35" s="56"/>
      <c r="E35" s="56"/>
      <c r="F35" s="56"/>
      <c r="G35" s="57"/>
      <c r="H35" s="56"/>
      <c r="I35" s="58"/>
      <c r="J35" s="68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59" t="s">
        <v>2332</v>
      </c>
      <c r="B36" s="59"/>
      <c r="C36" s="59"/>
      <c r="D36" s="60"/>
      <c r="E36" s="60"/>
      <c r="F36" s="60"/>
      <c r="G36" s="61"/>
      <c r="H36" s="60"/>
      <c r="I36" s="62"/>
      <c r="J36" s="68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55" t="s">
        <v>1610</v>
      </c>
      <c r="B37" s="55"/>
      <c r="C37" s="55"/>
      <c r="D37" s="56"/>
      <c r="E37" s="56"/>
      <c r="F37" s="56"/>
      <c r="G37" s="57"/>
      <c r="H37" s="56"/>
      <c r="I37" s="58"/>
      <c r="J37" s="68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55" t="s">
        <v>2333</v>
      </c>
      <c r="B38" s="55"/>
      <c r="C38" s="55"/>
      <c r="D38" s="56"/>
      <c r="E38" s="56"/>
      <c r="F38" s="56"/>
      <c r="G38" s="57"/>
      <c r="H38" s="56"/>
      <c r="I38" s="58"/>
      <c r="J38" s="68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55" t="s">
        <v>1612</v>
      </c>
      <c r="B39" s="55"/>
      <c r="C39" s="55"/>
      <c r="D39" s="56"/>
      <c r="E39" s="56"/>
      <c r="F39" s="56"/>
      <c r="G39" s="57"/>
      <c r="H39" s="56"/>
      <c r="I39" s="58"/>
      <c r="J39" s="68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55" t="s">
        <v>2334</v>
      </c>
      <c r="B40" s="55"/>
      <c r="C40" s="55"/>
      <c r="D40" s="56"/>
      <c r="E40" s="56"/>
      <c r="F40" s="56"/>
      <c r="G40" s="57"/>
      <c r="H40" s="56"/>
      <c r="I40" s="58"/>
      <c r="J40" s="68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55" t="s">
        <v>2335</v>
      </c>
      <c r="B41" s="55"/>
      <c r="C41" s="55"/>
      <c r="D41" s="56"/>
      <c r="E41" s="56"/>
      <c r="F41" s="56"/>
      <c r="G41" s="57"/>
      <c r="H41" s="56"/>
      <c r="I41" s="58"/>
      <c r="J41" s="68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55" t="s">
        <v>2336</v>
      </c>
      <c r="B42" s="55"/>
      <c r="C42" s="55"/>
      <c r="D42" s="56"/>
      <c r="E42" s="56"/>
      <c r="F42" s="56"/>
      <c r="G42" s="57"/>
      <c r="H42" s="56"/>
      <c r="I42" s="58"/>
      <c r="J42" s="68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55" t="s">
        <v>2337</v>
      </c>
      <c r="B43" s="55"/>
      <c r="C43" s="55"/>
      <c r="D43" s="56"/>
      <c r="E43" s="56"/>
      <c r="F43" s="56"/>
      <c r="G43" s="57"/>
      <c r="H43" s="56"/>
      <c r="I43" s="58"/>
      <c r="J43" s="68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55" t="s">
        <v>2338</v>
      </c>
      <c r="B44" s="55"/>
      <c r="C44" s="55"/>
      <c r="D44" s="56"/>
      <c r="E44" s="56"/>
      <c r="F44" s="56"/>
      <c r="G44" s="57"/>
      <c r="H44" s="56"/>
      <c r="I44" s="58"/>
      <c r="J44" s="68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55" t="s">
        <v>2339</v>
      </c>
      <c r="B45" s="55"/>
      <c r="C45" s="55"/>
      <c r="D45" s="56"/>
      <c r="E45" s="56"/>
      <c r="F45" s="56"/>
      <c r="G45" s="57"/>
      <c r="H45" s="56"/>
      <c r="I45" s="58"/>
      <c r="J45" s="6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55" t="s">
        <v>1618</v>
      </c>
      <c r="B46" s="55"/>
      <c r="C46" s="55"/>
      <c r="D46" s="56"/>
      <c r="E46" s="56"/>
      <c r="F46" s="56"/>
      <c r="G46" s="57"/>
      <c r="H46" s="56"/>
      <c r="I46" s="5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55" t="s">
        <v>2340</v>
      </c>
      <c r="B47" s="55"/>
      <c r="C47" s="55"/>
      <c r="D47" s="56"/>
      <c r="E47" s="56"/>
      <c r="F47" s="56"/>
      <c r="G47" s="57"/>
      <c r="H47" s="56"/>
      <c r="I47" s="58"/>
      <c r="J47" s="68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59" t="s">
        <v>2341</v>
      </c>
      <c r="B48" s="59"/>
      <c r="C48" s="59"/>
      <c r="D48" s="60"/>
      <c r="E48" s="60"/>
      <c r="F48" s="60"/>
      <c r="G48" s="61"/>
      <c r="H48" s="60"/>
      <c r="I48" s="62"/>
      <c r="J48" s="68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55" t="s">
        <v>2342</v>
      </c>
      <c r="B49" s="55"/>
      <c r="C49" s="55"/>
      <c r="D49" s="56"/>
      <c r="E49" s="56"/>
      <c r="F49" s="56"/>
      <c r="G49" s="57"/>
      <c r="H49" s="56"/>
      <c r="I49" s="58"/>
      <c r="J49" s="68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55" t="s">
        <v>2343</v>
      </c>
      <c r="B50" s="55"/>
      <c r="C50" s="55"/>
      <c r="D50" s="56"/>
      <c r="E50" s="56"/>
      <c r="F50" s="56"/>
      <c r="G50" s="57"/>
      <c r="H50" s="56"/>
      <c r="I50" s="58"/>
      <c r="J50" s="68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55" t="s">
        <v>2344</v>
      </c>
      <c r="B51" s="55"/>
      <c r="C51" s="55"/>
      <c r="D51" s="56"/>
      <c r="E51" s="56"/>
      <c r="F51" s="56"/>
      <c r="G51" s="57"/>
      <c r="H51" s="56"/>
      <c r="I51" s="58"/>
      <c r="J51" s="68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55" t="s">
        <v>2345</v>
      </c>
      <c r="B52" s="55"/>
      <c r="C52" s="55"/>
      <c r="D52" s="56"/>
      <c r="E52" s="56"/>
      <c r="F52" s="56"/>
      <c r="G52" s="57"/>
      <c r="H52" s="56"/>
      <c r="I52" s="58"/>
      <c r="J52" s="6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55" t="s">
        <v>2346</v>
      </c>
      <c r="B53" s="55"/>
      <c r="C53" s="55"/>
      <c r="D53" s="56"/>
      <c r="E53" s="56"/>
      <c r="F53" s="56"/>
      <c r="G53" s="57"/>
      <c r="H53" s="56"/>
      <c r="I53" s="58"/>
      <c r="J53" s="6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55" t="s">
        <v>2347</v>
      </c>
      <c r="B54" s="55"/>
      <c r="C54" s="55"/>
      <c r="D54" s="56"/>
      <c r="E54" s="56"/>
      <c r="F54" s="56"/>
      <c r="G54" s="57"/>
      <c r="H54" s="56"/>
      <c r="I54" s="58"/>
      <c r="J54" s="6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55" t="s">
        <v>2348</v>
      </c>
      <c r="B55" s="55"/>
      <c r="C55" s="55"/>
      <c r="D55" s="56"/>
      <c r="E55" s="56"/>
      <c r="F55" s="56"/>
      <c r="G55" s="57"/>
      <c r="H55" s="56"/>
      <c r="I55" s="58"/>
      <c r="J55" s="68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55" t="s">
        <v>2349</v>
      </c>
      <c r="B56" s="55"/>
      <c r="C56" s="55"/>
      <c r="D56" s="56"/>
      <c r="E56" s="56"/>
      <c r="F56" s="56"/>
      <c r="G56" s="57"/>
      <c r="H56" s="56"/>
      <c r="I56" s="58"/>
      <c r="J56" s="68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59" t="s">
        <v>2350</v>
      </c>
      <c r="B57" s="59"/>
      <c r="C57" s="59"/>
      <c r="D57" s="60"/>
      <c r="E57" s="60"/>
      <c r="F57" s="60"/>
      <c r="G57" s="61"/>
      <c r="H57" s="60"/>
      <c r="I57" s="62"/>
      <c r="J57" s="68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55" t="s">
        <v>2351</v>
      </c>
      <c r="B58" s="55"/>
      <c r="C58" s="55"/>
      <c r="D58" s="56"/>
      <c r="E58" s="56"/>
      <c r="F58" s="56"/>
      <c r="G58" s="57"/>
      <c r="H58" s="56"/>
      <c r="I58" s="58"/>
      <c r="J58" s="68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55" t="s">
        <v>2352</v>
      </c>
      <c r="B59" s="55"/>
      <c r="C59" s="55"/>
      <c r="D59" s="56"/>
      <c r="E59" s="56"/>
      <c r="F59" s="56"/>
      <c r="G59" s="57"/>
      <c r="H59" s="56"/>
      <c r="I59" s="58"/>
      <c r="J59" s="68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55" t="s">
        <v>2353</v>
      </c>
      <c r="B60" s="55"/>
      <c r="C60" s="55"/>
      <c r="D60" s="56"/>
      <c r="E60" s="56"/>
      <c r="F60" s="56"/>
      <c r="G60" s="57"/>
      <c r="H60" s="56"/>
      <c r="I60" s="58"/>
      <c r="J60" s="68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55" t="s">
        <v>2354</v>
      </c>
      <c r="B61" s="55"/>
      <c r="C61" s="55"/>
      <c r="D61" s="56"/>
      <c r="E61" s="56"/>
      <c r="F61" s="56"/>
      <c r="G61" s="57"/>
      <c r="H61" s="56"/>
      <c r="I61" s="58"/>
      <c r="J61" s="68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55" t="s">
        <v>2355</v>
      </c>
      <c r="B62" s="55"/>
      <c r="C62" s="55"/>
      <c r="D62" s="56"/>
      <c r="E62" s="56"/>
      <c r="F62" s="56"/>
      <c r="G62" s="57"/>
      <c r="H62" s="56"/>
      <c r="I62" s="58"/>
      <c r="J62" s="68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55" t="s">
        <v>2356</v>
      </c>
      <c r="B63" s="55"/>
      <c r="C63" s="55"/>
      <c r="D63" s="56"/>
      <c r="E63" s="56"/>
      <c r="F63" s="56"/>
      <c r="G63" s="57"/>
      <c r="H63" s="56"/>
      <c r="I63" s="58"/>
      <c r="J63" s="68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55" t="s">
        <v>2357</v>
      </c>
      <c r="B64" s="55"/>
      <c r="C64" s="55"/>
      <c r="D64" s="56"/>
      <c r="E64" s="56"/>
      <c r="F64" s="56"/>
      <c r="G64" s="57"/>
      <c r="H64" s="56"/>
      <c r="I64" s="58"/>
      <c r="J64" s="68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55" t="s">
        <v>2358</v>
      </c>
      <c r="B65" s="55"/>
      <c r="C65" s="55"/>
      <c r="D65" s="56"/>
      <c r="E65" s="56"/>
      <c r="F65" s="56"/>
      <c r="G65" s="57"/>
      <c r="H65" s="56"/>
      <c r="I65" s="58"/>
      <c r="J65" s="68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55" t="s">
        <v>2359</v>
      </c>
      <c r="B66" s="55"/>
      <c r="C66" s="55"/>
      <c r="D66" s="56"/>
      <c r="E66" s="56"/>
      <c r="F66" s="56"/>
      <c r="G66" s="57"/>
      <c r="H66" s="56"/>
      <c r="I66" s="58"/>
      <c r="J66" s="68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55" t="s">
        <v>2360</v>
      </c>
      <c r="B67" s="55"/>
      <c r="C67" s="55"/>
      <c r="D67" s="56"/>
      <c r="E67" s="56"/>
      <c r="F67" s="56"/>
      <c r="G67" s="57"/>
      <c r="H67" s="56"/>
      <c r="I67" s="58"/>
      <c r="J67" s="68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59" t="s">
        <v>2361</v>
      </c>
      <c r="B68" s="59"/>
      <c r="C68" s="59"/>
      <c r="D68" s="60"/>
      <c r="E68" s="60"/>
      <c r="F68" s="60"/>
      <c r="G68" s="61"/>
      <c r="H68" s="60"/>
      <c r="I68" s="62"/>
      <c r="J68" s="68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55" t="s">
        <v>2362</v>
      </c>
      <c r="B69" s="55"/>
      <c r="C69" s="55"/>
      <c r="D69" s="56"/>
      <c r="E69" s="56"/>
      <c r="F69" s="56"/>
      <c r="G69" s="57"/>
      <c r="H69" s="56"/>
      <c r="I69" s="58"/>
      <c r="J69" s="68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55" t="s">
        <v>2363</v>
      </c>
      <c r="B70" s="55"/>
      <c r="C70" s="55"/>
      <c r="D70" s="56"/>
      <c r="E70" s="56"/>
      <c r="F70" s="56"/>
      <c r="G70" s="57"/>
      <c r="H70" s="56"/>
      <c r="I70" s="58"/>
      <c r="J70" s="68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55" t="s">
        <v>2364</v>
      </c>
      <c r="B71" s="55"/>
      <c r="C71" s="55"/>
      <c r="D71" s="56"/>
      <c r="E71" s="56"/>
      <c r="F71" s="56"/>
      <c r="G71" s="57"/>
      <c r="H71" s="56"/>
      <c r="I71" s="58"/>
      <c r="J71" s="68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55" t="s">
        <v>2365</v>
      </c>
      <c r="B72" s="55"/>
      <c r="C72" s="55"/>
      <c r="D72" s="56"/>
      <c r="E72" s="56"/>
      <c r="F72" s="56"/>
      <c r="G72" s="57"/>
      <c r="H72" s="56"/>
      <c r="I72" s="58"/>
      <c r="J72" s="68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55" t="s">
        <v>2366</v>
      </c>
      <c r="B73" s="55"/>
      <c r="C73" s="55"/>
      <c r="D73" s="56"/>
      <c r="E73" s="56"/>
      <c r="F73" s="56"/>
      <c r="G73" s="57"/>
      <c r="H73" s="56"/>
      <c r="I73" s="58"/>
      <c r="J73" s="68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55" t="s">
        <v>2367</v>
      </c>
      <c r="B74" s="55"/>
      <c r="C74" s="55"/>
      <c r="D74" s="56"/>
      <c r="E74" s="56"/>
      <c r="F74" s="56"/>
      <c r="G74" s="57"/>
      <c r="H74" s="56"/>
      <c r="I74" s="58"/>
      <c r="J74" s="68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55" t="s">
        <v>2368</v>
      </c>
      <c r="B75" s="55"/>
      <c r="C75" s="55"/>
      <c r="D75" s="56"/>
      <c r="E75" s="56"/>
      <c r="F75" s="56"/>
      <c r="G75" s="57"/>
      <c r="H75" s="56"/>
      <c r="I75" s="58"/>
      <c r="J75" s="68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55" t="s">
        <v>2369</v>
      </c>
      <c r="B76" s="55"/>
      <c r="C76" s="55"/>
      <c r="D76" s="56"/>
      <c r="E76" s="56"/>
      <c r="F76" s="56"/>
      <c r="G76" s="57"/>
      <c r="H76" s="56"/>
      <c r="I76" s="58"/>
      <c r="J76" s="68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55" t="s">
        <v>2370</v>
      </c>
      <c r="B77" s="55"/>
      <c r="C77" s="55"/>
      <c r="D77" s="56"/>
      <c r="E77" s="56"/>
      <c r="F77" s="56"/>
      <c r="G77" s="57"/>
      <c r="H77" s="56"/>
      <c r="I77" s="58"/>
      <c r="J77" s="68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55" t="s">
        <v>2371</v>
      </c>
      <c r="B78" s="55"/>
      <c r="C78" s="55"/>
      <c r="D78" s="56"/>
      <c r="E78" s="56"/>
      <c r="F78" s="56"/>
      <c r="G78" s="57"/>
      <c r="H78" s="56"/>
      <c r="I78" s="58"/>
      <c r="J78" s="68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55" t="s">
        <v>2372</v>
      </c>
      <c r="B79" s="55"/>
      <c r="C79" s="55"/>
      <c r="D79" s="56"/>
      <c r="E79" s="56"/>
      <c r="F79" s="56"/>
      <c r="G79" s="57"/>
      <c r="H79" s="56"/>
      <c r="I79" s="58"/>
      <c r="J79" s="68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59" t="s">
        <v>2373</v>
      </c>
      <c r="B80" s="59"/>
      <c r="C80" s="59"/>
      <c r="D80" s="60"/>
      <c r="E80" s="60"/>
      <c r="F80" s="60"/>
      <c r="G80" s="61"/>
      <c r="H80" s="60"/>
      <c r="I80" s="62"/>
      <c r="J80" s="68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55" t="s">
        <v>2374</v>
      </c>
      <c r="B81" s="55"/>
      <c r="C81" s="55"/>
      <c r="D81" s="56"/>
      <c r="E81" s="56"/>
      <c r="F81" s="56"/>
      <c r="G81" s="57"/>
      <c r="H81" s="56"/>
      <c r="I81" s="58"/>
      <c r="J81" s="68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55" t="s">
        <v>2375</v>
      </c>
      <c r="B82" s="55"/>
      <c r="C82" s="55"/>
      <c r="D82" s="56"/>
      <c r="E82" s="56"/>
      <c r="F82" s="56"/>
      <c r="G82" s="57"/>
      <c r="H82" s="56"/>
      <c r="I82" s="58"/>
      <c r="J82" s="68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55" t="s">
        <v>2376</v>
      </c>
      <c r="B83" s="55"/>
      <c r="C83" s="55"/>
      <c r="D83" s="56"/>
      <c r="E83" s="56"/>
      <c r="F83" s="56"/>
      <c r="G83" s="57"/>
      <c r="H83" s="56"/>
      <c r="I83" s="58"/>
      <c r="J83" s="68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55" t="s">
        <v>2377</v>
      </c>
      <c r="B84" s="55"/>
      <c r="C84" s="55"/>
      <c r="D84" s="56"/>
      <c r="E84" s="56"/>
      <c r="F84" s="56"/>
      <c r="G84" s="57"/>
      <c r="H84" s="56"/>
      <c r="I84" s="58"/>
      <c r="J84" s="68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55" t="s">
        <v>2378</v>
      </c>
      <c r="B85" s="55"/>
      <c r="C85" s="55"/>
      <c r="D85" s="56"/>
      <c r="E85" s="56"/>
      <c r="F85" s="56"/>
      <c r="G85" s="57"/>
      <c r="H85" s="56"/>
      <c r="I85" s="58"/>
      <c r="J85" s="68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55" t="s">
        <v>2379</v>
      </c>
      <c r="B86" s="55"/>
      <c r="C86" s="55"/>
      <c r="D86" s="56"/>
      <c r="E86" s="56"/>
      <c r="F86" s="56"/>
      <c r="G86" s="57"/>
      <c r="H86" s="56"/>
      <c r="I86" s="58"/>
      <c r="J86" s="68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7" t="str">
        <f t="shared" ref="A87:A96" si="1">HYPERLINK("https://drive.google.com/drive/folders/1rWtmOsByH8gzg0_FEp6Wr7_zJcsa3NqE", "02 - FEV - 26 / 27/02 - SEX")</f>
        <v>02 - FEV - 26 / 27/02 - SEX</v>
      </c>
      <c r="B87" s="59" t="s">
        <v>2380</v>
      </c>
      <c r="C87" s="59" t="s">
        <v>86</v>
      </c>
      <c r="D87" s="60" t="s">
        <v>378</v>
      </c>
      <c r="E87" s="60" t="s">
        <v>378</v>
      </c>
      <c r="F87" s="60"/>
      <c r="G87" s="61" t="s">
        <v>2381</v>
      </c>
      <c r="H87" s="63" t="s">
        <v>2382</v>
      </c>
      <c r="I87" s="62">
        <v>46079.0</v>
      </c>
      <c r="J87" s="68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29" t="str">
        <f t="shared" si="1"/>
        <v>02 - FEV - 26 / 27/02 - SEX</v>
      </c>
      <c r="B88" s="55" t="s">
        <v>2383</v>
      </c>
      <c r="C88" s="55" t="s">
        <v>86</v>
      </c>
      <c r="D88" s="56" t="s">
        <v>378</v>
      </c>
      <c r="E88" s="56" t="s">
        <v>378</v>
      </c>
      <c r="F88" s="56"/>
      <c r="G88" s="57" t="s">
        <v>2384</v>
      </c>
      <c r="H88" s="64" t="s">
        <v>2385</v>
      </c>
      <c r="I88" s="58">
        <v>46079.0</v>
      </c>
      <c r="J88" s="68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9" t="str">
        <f t="shared" si="1"/>
        <v>02 - FEV - 26 / 27/02 - SEX</v>
      </c>
      <c r="B89" s="55" t="s">
        <v>2386</v>
      </c>
      <c r="C89" s="55" t="s">
        <v>86</v>
      </c>
      <c r="D89" s="56" t="s">
        <v>378</v>
      </c>
      <c r="E89" s="56" t="s">
        <v>378</v>
      </c>
      <c r="F89" s="56"/>
      <c r="G89" s="57" t="s">
        <v>2387</v>
      </c>
      <c r="H89" s="64" t="s">
        <v>2388</v>
      </c>
      <c r="I89" s="58">
        <v>46079.0</v>
      </c>
      <c r="J89" s="68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29" t="str">
        <f t="shared" si="1"/>
        <v>02 - FEV - 26 / 27/02 - SEX</v>
      </c>
      <c r="B90" s="55" t="s">
        <v>2389</v>
      </c>
      <c r="C90" s="55" t="s">
        <v>32</v>
      </c>
      <c r="D90" s="56" t="s">
        <v>378</v>
      </c>
      <c r="E90" s="56" t="s">
        <v>378</v>
      </c>
      <c r="F90" s="56"/>
      <c r="G90" s="57" t="s">
        <v>2390</v>
      </c>
      <c r="H90" s="64" t="s">
        <v>2391</v>
      </c>
      <c r="I90" s="58">
        <v>46079.0</v>
      </c>
      <c r="J90" s="68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9" t="str">
        <f t="shared" si="1"/>
        <v>02 - FEV - 26 / 27/02 - SEX</v>
      </c>
      <c r="B91" s="55" t="s">
        <v>2392</v>
      </c>
      <c r="C91" s="55" t="s">
        <v>32</v>
      </c>
      <c r="D91" s="56" t="s">
        <v>378</v>
      </c>
      <c r="E91" s="56" t="s">
        <v>378</v>
      </c>
      <c r="F91" s="56"/>
      <c r="G91" s="57" t="s">
        <v>2393</v>
      </c>
      <c r="H91" s="64" t="s">
        <v>2394</v>
      </c>
      <c r="I91" s="58">
        <v>46079.0</v>
      </c>
      <c r="J91" s="68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29" t="str">
        <f t="shared" si="1"/>
        <v>02 - FEV - 26 / 27/02 - SEX</v>
      </c>
      <c r="B92" s="55" t="s">
        <v>2395</v>
      </c>
      <c r="C92" s="55" t="s">
        <v>32</v>
      </c>
      <c r="D92" s="56" t="s">
        <v>378</v>
      </c>
      <c r="E92" s="56" t="s">
        <v>378</v>
      </c>
      <c r="F92" s="56"/>
      <c r="G92" s="57" t="s">
        <v>2396</v>
      </c>
      <c r="H92" s="64" t="s">
        <v>2397</v>
      </c>
      <c r="I92" s="58">
        <v>46079.0</v>
      </c>
      <c r="J92" s="68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9" t="str">
        <f t="shared" si="1"/>
        <v>02 - FEV - 26 / 27/02 - SEX</v>
      </c>
      <c r="B93" s="55" t="s">
        <v>2398</v>
      </c>
      <c r="C93" s="55" t="s">
        <v>32</v>
      </c>
      <c r="D93" s="56" t="s">
        <v>378</v>
      </c>
      <c r="E93" s="56" t="s">
        <v>378</v>
      </c>
      <c r="F93" s="56"/>
      <c r="G93" s="57" t="s">
        <v>2399</v>
      </c>
      <c r="H93" s="64" t="s">
        <v>2400</v>
      </c>
      <c r="I93" s="58">
        <v>46079.0</v>
      </c>
      <c r="J93" s="68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29" t="str">
        <f t="shared" si="1"/>
        <v>02 - FEV - 26 / 27/02 - SEX</v>
      </c>
      <c r="B94" s="55" t="s">
        <v>2401</v>
      </c>
      <c r="C94" s="55" t="s">
        <v>32</v>
      </c>
      <c r="D94" s="56" t="s">
        <v>378</v>
      </c>
      <c r="E94" s="56" t="s">
        <v>378</v>
      </c>
      <c r="F94" s="56"/>
      <c r="G94" s="57" t="s">
        <v>2402</v>
      </c>
      <c r="H94" s="64" t="s">
        <v>2403</v>
      </c>
      <c r="I94" s="58">
        <v>46079.0</v>
      </c>
      <c r="J94" s="68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9" t="str">
        <f t="shared" si="1"/>
        <v>02 - FEV - 26 / 27/02 - SEX</v>
      </c>
      <c r="B95" s="55" t="s">
        <v>2404</v>
      </c>
      <c r="C95" s="55" t="s">
        <v>32</v>
      </c>
      <c r="D95" s="56" t="s">
        <v>378</v>
      </c>
      <c r="E95" s="56" t="s">
        <v>378</v>
      </c>
      <c r="F95" s="56"/>
      <c r="G95" s="57" t="s">
        <v>2405</v>
      </c>
      <c r="H95" s="64" t="s">
        <v>2406</v>
      </c>
      <c r="I95" s="58">
        <v>46079.0</v>
      </c>
      <c r="J95" s="68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29" t="str">
        <f t="shared" si="1"/>
        <v>02 - FEV - 26 / 27/02 - SEX</v>
      </c>
      <c r="B96" s="55" t="s">
        <v>2407</v>
      </c>
      <c r="C96" s="55" t="s">
        <v>32</v>
      </c>
      <c r="D96" s="56" t="s">
        <v>378</v>
      </c>
      <c r="E96" s="56" t="s">
        <v>378</v>
      </c>
      <c r="F96" s="56"/>
      <c r="G96" s="57" t="s">
        <v>2408</v>
      </c>
      <c r="H96" s="64" t="s">
        <v>2409</v>
      </c>
      <c r="I96" s="58">
        <v>46079.0</v>
      </c>
      <c r="J96" s="68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7" t="str">
        <f t="shared" ref="A97:A106" si="2">HYPERLINK("https://drive.google.com/drive/folders/1BI2zM80qm1oEH-txWH0-IJmOxTB6ATiH", "02 - FEV - 26 / 26/02 - QUI")</f>
        <v>02 - FEV - 26 / 26/02 - QUI</v>
      </c>
      <c r="B97" s="59" t="s">
        <v>2410</v>
      </c>
      <c r="C97" s="59" t="s">
        <v>32</v>
      </c>
      <c r="D97" s="60" t="s">
        <v>378</v>
      </c>
      <c r="E97" s="60" t="s">
        <v>378</v>
      </c>
      <c r="F97" s="60"/>
      <c r="G97" s="61" t="s">
        <v>2411</v>
      </c>
      <c r="H97" s="63" t="s">
        <v>2412</v>
      </c>
      <c r="I97" s="62">
        <v>46079.0</v>
      </c>
      <c r="J97" s="68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29" t="str">
        <f t="shared" si="2"/>
        <v>02 - FEV - 26 / 26/02 - QUI</v>
      </c>
      <c r="B98" s="55" t="s">
        <v>2413</v>
      </c>
      <c r="C98" s="55" t="s">
        <v>32</v>
      </c>
      <c r="D98" s="56" t="s">
        <v>378</v>
      </c>
      <c r="E98" s="56" t="s">
        <v>378</v>
      </c>
      <c r="F98" s="56"/>
      <c r="G98" s="57" t="s">
        <v>2414</v>
      </c>
      <c r="H98" s="64" t="s">
        <v>2415</v>
      </c>
      <c r="I98" s="58">
        <v>46079.0</v>
      </c>
      <c r="J98" s="68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9" t="str">
        <f t="shared" si="2"/>
        <v>02 - FEV - 26 / 26/02 - QUI</v>
      </c>
      <c r="B99" s="55" t="s">
        <v>2416</v>
      </c>
      <c r="C99" s="55" t="s">
        <v>32</v>
      </c>
      <c r="D99" s="56" t="s">
        <v>378</v>
      </c>
      <c r="E99" s="56" t="s">
        <v>378</v>
      </c>
      <c r="F99" s="56"/>
      <c r="G99" s="57" t="s">
        <v>2417</v>
      </c>
      <c r="H99" s="64" t="s">
        <v>2418</v>
      </c>
      <c r="I99" s="58">
        <v>46079.0</v>
      </c>
      <c r="J99" s="68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29" t="str">
        <f t="shared" si="2"/>
        <v>02 - FEV - 26 / 26/02 - QUI</v>
      </c>
      <c r="B100" s="55" t="s">
        <v>2419</v>
      </c>
      <c r="C100" s="55" t="s">
        <v>32</v>
      </c>
      <c r="D100" s="56" t="s">
        <v>378</v>
      </c>
      <c r="E100" s="56" t="s">
        <v>378</v>
      </c>
      <c r="F100" s="56"/>
      <c r="G100" s="57" t="s">
        <v>2420</v>
      </c>
      <c r="H100" s="64" t="s">
        <v>2421</v>
      </c>
      <c r="I100" s="58">
        <v>46079.0</v>
      </c>
      <c r="J100" s="68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9" t="str">
        <f t="shared" si="2"/>
        <v>02 - FEV - 26 / 26/02 - QUI</v>
      </c>
      <c r="B101" s="55" t="s">
        <v>2422</v>
      </c>
      <c r="C101" s="55" t="s">
        <v>32</v>
      </c>
      <c r="D101" s="56" t="s">
        <v>378</v>
      </c>
      <c r="E101" s="56" t="s">
        <v>378</v>
      </c>
      <c r="F101" s="56"/>
      <c r="G101" s="57" t="s">
        <v>2423</v>
      </c>
      <c r="H101" s="64" t="s">
        <v>2424</v>
      </c>
      <c r="I101" s="58">
        <v>46079.0</v>
      </c>
      <c r="J101" s="68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29" t="str">
        <f t="shared" si="2"/>
        <v>02 - FEV - 26 / 26/02 - QUI</v>
      </c>
      <c r="B102" s="55" t="s">
        <v>2425</v>
      </c>
      <c r="C102" s="55" t="s">
        <v>32</v>
      </c>
      <c r="D102" s="56" t="s">
        <v>378</v>
      </c>
      <c r="E102" s="56" t="s">
        <v>378</v>
      </c>
      <c r="F102" s="56"/>
      <c r="G102" s="57" t="s">
        <v>2426</v>
      </c>
      <c r="H102" s="64" t="s">
        <v>2427</v>
      </c>
      <c r="I102" s="58">
        <v>46079.0</v>
      </c>
      <c r="J102" s="68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9" t="str">
        <f t="shared" si="2"/>
        <v>02 - FEV - 26 / 26/02 - QUI</v>
      </c>
      <c r="B103" s="55" t="s">
        <v>2428</v>
      </c>
      <c r="C103" s="55" t="s">
        <v>86</v>
      </c>
      <c r="D103" s="56" t="s">
        <v>378</v>
      </c>
      <c r="E103" s="56" t="s">
        <v>378</v>
      </c>
      <c r="F103" s="56"/>
      <c r="G103" s="57" t="s">
        <v>2429</v>
      </c>
      <c r="H103" s="64" t="s">
        <v>2430</v>
      </c>
      <c r="I103" s="58">
        <v>46078.0</v>
      </c>
      <c r="J103" s="68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29" t="str">
        <f t="shared" si="2"/>
        <v>02 - FEV - 26 / 26/02 - QUI</v>
      </c>
      <c r="B104" s="55" t="s">
        <v>2431</v>
      </c>
      <c r="C104" s="55" t="s">
        <v>86</v>
      </c>
      <c r="D104" s="56" t="s">
        <v>378</v>
      </c>
      <c r="E104" s="56" t="s">
        <v>378</v>
      </c>
      <c r="F104" s="56"/>
      <c r="G104" s="57" t="s">
        <v>2432</v>
      </c>
      <c r="H104" s="64" t="s">
        <v>2433</v>
      </c>
      <c r="I104" s="58">
        <v>46078.0</v>
      </c>
      <c r="J104" s="68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9" t="str">
        <f t="shared" si="2"/>
        <v>02 - FEV - 26 / 26/02 - QUI</v>
      </c>
      <c r="B105" s="55" t="s">
        <v>2434</v>
      </c>
      <c r="C105" s="55" t="s">
        <v>86</v>
      </c>
      <c r="D105" s="56" t="s">
        <v>378</v>
      </c>
      <c r="E105" s="56" t="s">
        <v>378</v>
      </c>
      <c r="F105" s="56"/>
      <c r="G105" s="57" t="s">
        <v>2435</v>
      </c>
      <c r="H105" s="64" t="s">
        <v>2436</v>
      </c>
      <c r="I105" s="58">
        <v>46078.0</v>
      </c>
      <c r="J105" s="68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29" t="str">
        <f t="shared" si="2"/>
        <v>02 - FEV - 26 / 26/02 - QUI</v>
      </c>
      <c r="B106" s="55" t="s">
        <v>2437</v>
      </c>
      <c r="C106" s="55" t="s">
        <v>86</v>
      </c>
      <c r="D106" s="56" t="s">
        <v>378</v>
      </c>
      <c r="E106" s="56" t="s">
        <v>378</v>
      </c>
      <c r="F106" s="56"/>
      <c r="G106" s="57" t="s">
        <v>2438</v>
      </c>
      <c r="H106" s="64" t="s">
        <v>2439</v>
      </c>
      <c r="I106" s="58">
        <v>46078.0</v>
      </c>
      <c r="J106" s="68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7" t="str">
        <f t="shared" ref="A107:A116" si="3">HYPERLINK("https://drive.google.com/drive/folders/1us4vSG3RWYXteKjbdrhtO0iaRQ46-WTB", "02 - FEV - 26 / 25/02 - QUA")</f>
        <v>02 - FEV - 26 / 25/02 - QUA</v>
      </c>
      <c r="B107" s="59" t="s">
        <v>2440</v>
      </c>
      <c r="C107" s="59" t="s">
        <v>86</v>
      </c>
      <c r="D107" s="60" t="s">
        <v>378</v>
      </c>
      <c r="E107" s="60" t="s">
        <v>378</v>
      </c>
      <c r="F107" s="60"/>
      <c r="G107" s="61" t="s">
        <v>2441</v>
      </c>
      <c r="H107" s="63" t="s">
        <v>2442</v>
      </c>
      <c r="I107" s="62">
        <v>46077.0</v>
      </c>
      <c r="J107" s="68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29" t="str">
        <f t="shared" si="3"/>
        <v>02 - FEV - 26 / 25/02 - QUA</v>
      </c>
      <c r="B108" s="55" t="s">
        <v>2443</v>
      </c>
      <c r="C108" s="55" t="s">
        <v>86</v>
      </c>
      <c r="D108" s="56" t="s">
        <v>378</v>
      </c>
      <c r="E108" s="56" t="s">
        <v>378</v>
      </c>
      <c r="F108" s="56"/>
      <c r="G108" s="57" t="s">
        <v>2444</v>
      </c>
      <c r="H108" s="64" t="s">
        <v>2445</v>
      </c>
      <c r="I108" s="58">
        <v>46077.0</v>
      </c>
      <c r="J108" s="68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9" t="str">
        <f t="shared" si="3"/>
        <v>02 - FEV - 26 / 25/02 - QUA</v>
      </c>
      <c r="B109" s="55" t="s">
        <v>2446</v>
      </c>
      <c r="C109" s="55" t="s">
        <v>86</v>
      </c>
      <c r="D109" s="56" t="s">
        <v>378</v>
      </c>
      <c r="E109" s="56" t="s">
        <v>378</v>
      </c>
      <c r="F109" s="56"/>
      <c r="G109" s="57" t="s">
        <v>2447</v>
      </c>
      <c r="H109" s="64" t="s">
        <v>2448</v>
      </c>
      <c r="I109" s="58">
        <v>46077.0</v>
      </c>
      <c r="J109" s="68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29" t="str">
        <f t="shared" si="3"/>
        <v>02 - FEV - 26 / 25/02 - QUA</v>
      </c>
      <c r="B110" s="55" t="s">
        <v>2449</v>
      </c>
      <c r="C110" s="55" t="s">
        <v>86</v>
      </c>
      <c r="D110" s="56" t="s">
        <v>378</v>
      </c>
      <c r="E110" s="56" t="s">
        <v>378</v>
      </c>
      <c r="F110" s="56"/>
      <c r="G110" s="57" t="s">
        <v>2450</v>
      </c>
      <c r="H110" s="64" t="s">
        <v>2451</v>
      </c>
      <c r="I110" s="58">
        <v>46077.0</v>
      </c>
      <c r="J110" s="68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9" t="str">
        <f t="shared" si="3"/>
        <v>02 - FEV - 26 / 25/02 - QUA</v>
      </c>
      <c r="B111" s="55" t="s">
        <v>2452</v>
      </c>
      <c r="C111" s="55" t="s">
        <v>86</v>
      </c>
      <c r="D111" s="56" t="s">
        <v>378</v>
      </c>
      <c r="E111" s="56" t="s">
        <v>378</v>
      </c>
      <c r="F111" s="56"/>
      <c r="G111" s="57" t="s">
        <v>2453</v>
      </c>
      <c r="H111" s="64" t="s">
        <v>2454</v>
      </c>
      <c r="I111" s="58">
        <v>46077.0</v>
      </c>
      <c r="J111" s="68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29" t="str">
        <f t="shared" si="3"/>
        <v>02 - FEV - 26 / 25/02 - QUA</v>
      </c>
      <c r="B112" s="55" t="s">
        <v>2455</v>
      </c>
      <c r="C112" s="55" t="s">
        <v>86</v>
      </c>
      <c r="D112" s="56" t="s">
        <v>378</v>
      </c>
      <c r="E112" s="56" t="s">
        <v>378</v>
      </c>
      <c r="F112" s="56"/>
      <c r="G112" s="57" t="s">
        <v>2456</v>
      </c>
      <c r="H112" s="64" t="s">
        <v>2457</v>
      </c>
      <c r="I112" s="58">
        <v>46077.0</v>
      </c>
      <c r="J112" s="68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9" t="str">
        <f t="shared" si="3"/>
        <v>02 - FEV - 26 / 25/02 - QUA</v>
      </c>
      <c r="B113" s="55" t="s">
        <v>2458</v>
      </c>
      <c r="C113" s="55" t="s">
        <v>86</v>
      </c>
      <c r="D113" s="56" t="s">
        <v>378</v>
      </c>
      <c r="E113" s="56" t="s">
        <v>378</v>
      </c>
      <c r="F113" s="56"/>
      <c r="G113" s="57" t="s">
        <v>2459</v>
      </c>
      <c r="H113" s="64" t="s">
        <v>2460</v>
      </c>
      <c r="I113" s="58">
        <v>46077.0</v>
      </c>
      <c r="J113" s="68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29" t="str">
        <f t="shared" si="3"/>
        <v>02 - FEV - 26 / 25/02 - QUA</v>
      </c>
      <c r="B114" s="55" t="s">
        <v>2461</v>
      </c>
      <c r="C114" s="55" t="s">
        <v>86</v>
      </c>
      <c r="D114" s="56" t="s">
        <v>378</v>
      </c>
      <c r="E114" s="56" t="s">
        <v>378</v>
      </c>
      <c r="F114" s="56"/>
      <c r="G114" s="57" t="s">
        <v>2462</v>
      </c>
      <c r="H114" s="64" t="s">
        <v>2463</v>
      </c>
      <c r="I114" s="58">
        <v>46077.0</v>
      </c>
      <c r="J114" s="68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9" t="str">
        <f t="shared" si="3"/>
        <v>02 - FEV - 26 / 25/02 - QUA</v>
      </c>
      <c r="B115" s="55" t="s">
        <v>2464</v>
      </c>
      <c r="C115" s="55" t="s">
        <v>86</v>
      </c>
      <c r="D115" s="56" t="s">
        <v>378</v>
      </c>
      <c r="E115" s="56" t="s">
        <v>378</v>
      </c>
      <c r="F115" s="56"/>
      <c r="G115" s="57" t="s">
        <v>2465</v>
      </c>
      <c r="H115" s="64" t="s">
        <v>2466</v>
      </c>
      <c r="I115" s="58">
        <v>46077.0</v>
      </c>
      <c r="J115" s="68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29" t="str">
        <f t="shared" si="3"/>
        <v>02 - FEV - 26 / 25/02 - QUA</v>
      </c>
      <c r="B116" s="55" t="s">
        <v>2467</v>
      </c>
      <c r="C116" s="55" t="s">
        <v>86</v>
      </c>
      <c r="D116" s="56" t="s">
        <v>378</v>
      </c>
      <c r="E116" s="56" t="s">
        <v>378</v>
      </c>
      <c r="F116" s="56"/>
      <c r="G116" s="57" t="s">
        <v>2468</v>
      </c>
      <c r="H116" s="64" t="s">
        <v>2469</v>
      </c>
      <c r="I116" s="58">
        <v>46077.0</v>
      </c>
      <c r="J116" s="68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7" t="str">
        <f t="shared" ref="A117:A126" si="4">HYPERLINK("https://drive.google.com/drive/folders/1pFsJiMoWfuIACVNk3uNEqonDZKeqCQWt", "02 - FEV - 26 / 24/02 - TER")</f>
        <v>02 - FEV - 26 / 24/02 - TER</v>
      </c>
      <c r="B117" s="59" t="s">
        <v>2470</v>
      </c>
      <c r="C117" s="59" t="s">
        <v>86</v>
      </c>
      <c r="D117" s="60" t="s">
        <v>378</v>
      </c>
      <c r="E117" s="60" t="s">
        <v>378</v>
      </c>
      <c r="F117" s="60"/>
      <c r="G117" s="61" t="s">
        <v>2471</v>
      </c>
      <c r="H117" s="63" t="s">
        <v>2472</v>
      </c>
      <c r="I117" s="62">
        <v>46076.0</v>
      </c>
      <c r="J117" s="68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29" t="str">
        <f t="shared" si="4"/>
        <v>02 - FEV - 26 / 24/02 - TER</v>
      </c>
      <c r="B118" s="55" t="s">
        <v>2473</v>
      </c>
      <c r="C118" s="55" t="s">
        <v>86</v>
      </c>
      <c r="D118" s="56" t="s">
        <v>378</v>
      </c>
      <c r="E118" s="56" t="s">
        <v>378</v>
      </c>
      <c r="F118" s="56"/>
      <c r="G118" s="57" t="s">
        <v>2474</v>
      </c>
      <c r="H118" s="64" t="s">
        <v>2475</v>
      </c>
      <c r="I118" s="58">
        <v>46076.0</v>
      </c>
      <c r="J118" s="68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9" t="str">
        <f t="shared" si="4"/>
        <v>02 - FEV - 26 / 24/02 - TER</v>
      </c>
      <c r="B119" s="55" t="s">
        <v>2476</v>
      </c>
      <c r="C119" s="55" t="s">
        <v>86</v>
      </c>
      <c r="D119" s="56" t="s">
        <v>378</v>
      </c>
      <c r="E119" s="56" t="s">
        <v>378</v>
      </c>
      <c r="F119" s="56"/>
      <c r="G119" s="57" t="s">
        <v>2477</v>
      </c>
      <c r="H119" s="64" t="s">
        <v>2478</v>
      </c>
      <c r="I119" s="58">
        <v>46076.0</v>
      </c>
      <c r="J119" s="68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29" t="str">
        <f t="shared" si="4"/>
        <v>02 - FEV - 26 / 24/02 - TER</v>
      </c>
      <c r="B120" s="55" t="s">
        <v>2479</v>
      </c>
      <c r="C120" s="55" t="s">
        <v>86</v>
      </c>
      <c r="D120" s="56" t="s">
        <v>378</v>
      </c>
      <c r="E120" s="56" t="s">
        <v>378</v>
      </c>
      <c r="F120" s="56"/>
      <c r="G120" s="57" t="s">
        <v>2480</v>
      </c>
      <c r="H120" s="64" t="s">
        <v>2481</v>
      </c>
      <c r="I120" s="58">
        <v>46076.0</v>
      </c>
      <c r="J120" s="68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9" t="str">
        <f t="shared" si="4"/>
        <v>02 - FEV - 26 / 24/02 - TER</v>
      </c>
      <c r="B121" s="55" t="s">
        <v>2482</v>
      </c>
      <c r="C121" s="55" t="s">
        <v>86</v>
      </c>
      <c r="D121" s="56" t="s">
        <v>378</v>
      </c>
      <c r="E121" s="56" t="s">
        <v>378</v>
      </c>
      <c r="F121" s="56"/>
      <c r="G121" s="57" t="s">
        <v>2483</v>
      </c>
      <c r="H121" s="64" t="s">
        <v>2484</v>
      </c>
      <c r="I121" s="58">
        <v>46076.0</v>
      </c>
      <c r="J121" s="68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29" t="str">
        <f t="shared" si="4"/>
        <v>02 - FEV - 26 / 24/02 - TER</v>
      </c>
      <c r="B122" s="55" t="s">
        <v>2485</v>
      </c>
      <c r="C122" s="55" t="s">
        <v>86</v>
      </c>
      <c r="D122" s="56" t="s">
        <v>378</v>
      </c>
      <c r="E122" s="56" t="s">
        <v>378</v>
      </c>
      <c r="F122" s="56"/>
      <c r="G122" s="57" t="s">
        <v>2486</v>
      </c>
      <c r="H122" s="64" t="s">
        <v>2487</v>
      </c>
      <c r="I122" s="58">
        <v>46076.0</v>
      </c>
      <c r="J122" s="68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9" t="str">
        <f t="shared" si="4"/>
        <v>02 - FEV - 26 / 24/02 - TER</v>
      </c>
      <c r="B123" s="55" t="s">
        <v>2488</v>
      </c>
      <c r="C123" s="55" t="s">
        <v>86</v>
      </c>
      <c r="D123" s="56" t="s">
        <v>378</v>
      </c>
      <c r="E123" s="56" t="s">
        <v>378</v>
      </c>
      <c r="F123" s="56"/>
      <c r="G123" s="57" t="s">
        <v>2489</v>
      </c>
      <c r="H123" s="64" t="s">
        <v>2490</v>
      </c>
      <c r="I123" s="58">
        <v>46076.0</v>
      </c>
      <c r="J123" s="68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29" t="str">
        <f t="shared" si="4"/>
        <v>02 - FEV - 26 / 24/02 - TER</v>
      </c>
      <c r="B124" s="55" t="s">
        <v>2491</v>
      </c>
      <c r="C124" s="55" t="s">
        <v>86</v>
      </c>
      <c r="D124" s="56" t="s">
        <v>378</v>
      </c>
      <c r="E124" s="56" t="s">
        <v>378</v>
      </c>
      <c r="F124" s="56"/>
      <c r="G124" s="57" t="s">
        <v>2492</v>
      </c>
      <c r="H124" s="64" t="s">
        <v>2493</v>
      </c>
      <c r="I124" s="58">
        <v>46076.0</v>
      </c>
      <c r="J124" s="68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9" t="str">
        <f t="shared" si="4"/>
        <v>02 - FEV - 26 / 24/02 - TER</v>
      </c>
      <c r="B125" s="55" t="s">
        <v>2494</v>
      </c>
      <c r="C125" s="55" t="s">
        <v>86</v>
      </c>
      <c r="D125" s="56" t="s">
        <v>378</v>
      </c>
      <c r="E125" s="56" t="s">
        <v>378</v>
      </c>
      <c r="F125" s="56"/>
      <c r="G125" s="57" t="s">
        <v>2495</v>
      </c>
      <c r="H125" s="64" t="s">
        <v>2496</v>
      </c>
      <c r="I125" s="58">
        <v>46076.0</v>
      </c>
      <c r="J125" s="68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29" t="str">
        <f t="shared" si="4"/>
        <v>02 - FEV - 26 / 24/02 - TER</v>
      </c>
      <c r="B126" s="55" t="s">
        <v>2497</v>
      </c>
      <c r="C126" s="55" t="s">
        <v>86</v>
      </c>
      <c r="D126" s="56" t="s">
        <v>378</v>
      </c>
      <c r="E126" s="56" t="s">
        <v>378</v>
      </c>
      <c r="F126" s="56"/>
      <c r="G126" s="57" t="s">
        <v>2498</v>
      </c>
      <c r="H126" s="64" t="s">
        <v>2499</v>
      </c>
      <c r="I126" s="58">
        <v>46076.0</v>
      </c>
      <c r="J126" s="68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7" t="str">
        <f t="shared" ref="A127:A136" si="5">HYPERLINK("https://drive.google.com/drive/folders/1EkHenzPrk9ihuWoyZjuTpamBpaqcRdNJ", "02 - FEV - 26 / 23/02 - SEG")</f>
        <v>02 - FEV - 26 / 23/02 - SEG</v>
      </c>
      <c r="B127" s="59" t="s">
        <v>2500</v>
      </c>
      <c r="C127" s="59" t="s">
        <v>602</v>
      </c>
      <c r="D127" s="60" t="s">
        <v>378</v>
      </c>
      <c r="E127" s="60" t="s">
        <v>378</v>
      </c>
      <c r="F127" s="60"/>
      <c r="G127" s="61" t="s">
        <v>2501</v>
      </c>
      <c r="H127" s="63" t="s">
        <v>2502</v>
      </c>
      <c r="I127" s="62">
        <v>46076.0</v>
      </c>
      <c r="J127" s="68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29" t="str">
        <f t="shared" si="5"/>
        <v>02 - FEV - 26 / 23/02 - SEG</v>
      </c>
      <c r="B128" s="55" t="s">
        <v>2503</v>
      </c>
      <c r="C128" s="55" t="s">
        <v>602</v>
      </c>
      <c r="D128" s="56" t="s">
        <v>378</v>
      </c>
      <c r="E128" s="56" t="s">
        <v>378</v>
      </c>
      <c r="F128" s="56"/>
      <c r="G128" s="57" t="s">
        <v>2504</v>
      </c>
      <c r="H128" s="64" t="s">
        <v>2505</v>
      </c>
      <c r="I128" s="58">
        <v>46076.0</v>
      </c>
      <c r="J128" s="68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9" t="str">
        <f t="shared" si="5"/>
        <v>02 - FEV - 26 / 23/02 - SEG</v>
      </c>
      <c r="B129" s="55" t="s">
        <v>2506</v>
      </c>
      <c r="C129" s="55" t="s">
        <v>602</v>
      </c>
      <c r="D129" s="56" t="s">
        <v>378</v>
      </c>
      <c r="E129" s="56" t="s">
        <v>378</v>
      </c>
      <c r="F129" s="56"/>
      <c r="G129" s="57" t="s">
        <v>2507</v>
      </c>
      <c r="H129" s="64" t="s">
        <v>2508</v>
      </c>
      <c r="I129" s="58">
        <v>46076.0</v>
      </c>
      <c r="J129" s="68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29" t="str">
        <f t="shared" si="5"/>
        <v>02 - FEV - 26 / 23/02 - SEG</v>
      </c>
      <c r="B130" s="55" t="s">
        <v>2509</v>
      </c>
      <c r="C130" s="55" t="s">
        <v>602</v>
      </c>
      <c r="D130" s="56" t="s">
        <v>378</v>
      </c>
      <c r="E130" s="56" t="s">
        <v>378</v>
      </c>
      <c r="F130" s="56"/>
      <c r="G130" s="57" t="s">
        <v>2510</v>
      </c>
      <c r="H130" s="64" t="s">
        <v>2511</v>
      </c>
      <c r="I130" s="58">
        <v>46076.0</v>
      </c>
      <c r="J130" s="68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9" t="str">
        <f t="shared" si="5"/>
        <v>02 - FEV - 26 / 23/02 - SEG</v>
      </c>
      <c r="B131" s="55" t="s">
        <v>2512</v>
      </c>
      <c r="C131" s="55" t="s">
        <v>602</v>
      </c>
      <c r="D131" s="56" t="s">
        <v>378</v>
      </c>
      <c r="E131" s="56" t="s">
        <v>378</v>
      </c>
      <c r="F131" s="56"/>
      <c r="G131" s="57" t="s">
        <v>2513</v>
      </c>
      <c r="H131" s="64" t="s">
        <v>2514</v>
      </c>
      <c r="I131" s="58">
        <v>46076.0</v>
      </c>
      <c r="J131" s="68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29" t="str">
        <f t="shared" si="5"/>
        <v>02 - FEV - 26 / 23/02 - SEG</v>
      </c>
      <c r="B132" s="55" t="s">
        <v>2515</v>
      </c>
      <c r="C132" s="55" t="s">
        <v>602</v>
      </c>
      <c r="D132" s="56" t="s">
        <v>378</v>
      </c>
      <c r="E132" s="56" t="s">
        <v>378</v>
      </c>
      <c r="F132" s="56"/>
      <c r="G132" s="57" t="s">
        <v>2516</v>
      </c>
      <c r="H132" s="64" t="s">
        <v>2517</v>
      </c>
      <c r="I132" s="58">
        <v>46076.0</v>
      </c>
      <c r="J132" s="68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9" t="str">
        <f t="shared" si="5"/>
        <v>02 - FEV - 26 / 23/02 - SEG</v>
      </c>
      <c r="B133" s="55" t="s">
        <v>2518</v>
      </c>
      <c r="C133" s="55" t="s">
        <v>602</v>
      </c>
      <c r="D133" s="56" t="s">
        <v>378</v>
      </c>
      <c r="E133" s="56" t="s">
        <v>378</v>
      </c>
      <c r="F133" s="56"/>
      <c r="G133" s="57" t="s">
        <v>2519</v>
      </c>
      <c r="H133" s="64" t="s">
        <v>2520</v>
      </c>
      <c r="I133" s="58">
        <v>46076.0</v>
      </c>
      <c r="J133" s="68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29" t="str">
        <f t="shared" si="5"/>
        <v>02 - FEV - 26 / 23/02 - SEG</v>
      </c>
      <c r="B134" s="55" t="s">
        <v>2521</v>
      </c>
      <c r="C134" s="55" t="s">
        <v>86</v>
      </c>
      <c r="D134" s="56" t="s">
        <v>378</v>
      </c>
      <c r="E134" s="56" t="s">
        <v>378</v>
      </c>
      <c r="F134" s="56"/>
      <c r="G134" s="57" t="s">
        <v>2522</v>
      </c>
      <c r="H134" s="64" t="s">
        <v>2523</v>
      </c>
      <c r="I134" s="58">
        <v>46076.0</v>
      </c>
      <c r="J134" s="68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9" t="str">
        <f t="shared" si="5"/>
        <v>02 - FEV - 26 / 23/02 - SEG</v>
      </c>
      <c r="B135" s="55" t="s">
        <v>2524</v>
      </c>
      <c r="C135" s="55" t="s">
        <v>86</v>
      </c>
      <c r="D135" s="56" t="s">
        <v>378</v>
      </c>
      <c r="E135" s="56" t="s">
        <v>378</v>
      </c>
      <c r="F135" s="56"/>
      <c r="G135" s="57" t="s">
        <v>2525</v>
      </c>
      <c r="H135" s="64" t="s">
        <v>2526</v>
      </c>
      <c r="I135" s="58">
        <v>46076.0</v>
      </c>
      <c r="J135" s="68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29" t="str">
        <f t="shared" si="5"/>
        <v>02 - FEV - 26 / 23/02 - SEG</v>
      </c>
      <c r="B136" s="55" t="s">
        <v>2527</v>
      </c>
      <c r="C136" s="55" t="s">
        <v>86</v>
      </c>
      <c r="D136" s="56" t="s">
        <v>378</v>
      </c>
      <c r="E136" s="56" t="s">
        <v>378</v>
      </c>
      <c r="F136" s="56"/>
      <c r="G136" s="57" t="s">
        <v>2528</v>
      </c>
      <c r="H136" s="64" t="s">
        <v>2529</v>
      </c>
      <c r="I136" s="58">
        <v>46076.0</v>
      </c>
      <c r="J136" s="68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7" t="str">
        <f t="shared" ref="A137:A146" si="6">HYPERLINK("https://drive.google.com/drive/folders/1u-C8X-FF-SkvYzOv917kSZtymwQUZ4Vc", "02 - FEV - 26 / 20/02 - SEX")</f>
        <v>02 - FEV - 26 / 20/02 - SEX</v>
      </c>
      <c r="B137" s="59" t="s">
        <v>2530</v>
      </c>
      <c r="C137" s="59" t="s">
        <v>86</v>
      </c>
      <c r="D137" s="60" t="s">
        <v>378</v>
      </c>
      <c r="E137" s="60" t="s">
        <v>378</v>
      </c>
      <c r="F137" s="60"/>
      <c r="G137" s="61" t="s">
        <v>2531</v>
      </c>
      <c r="H137" s="63" t="s">
        <v>2532</v>
      </c>
      <c r="I137" s="62">
        <v>46072.0</v>
      </c>
      <c r="J137" s="68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29" t="str">
        <f t="shared" si="6"/>
        <v>02 - FEV - 26 / 20/02 - SEX</v>
      </c>
      <c r="B138" s="55" t="s">
        <v>2533</v>
      </c>
      <c r="C138" s="55" t="s">
        <v>86</v>
      </c>
      <c r="D138" s="56" t="s">
        <v>378</v>
      </c>
      <c r="E138" s="56" t="s">
        <v>378</v>
      </c>
      <c r="F138" s="56"/>
      <c r="G138" s="57" t="s">
        <v>2534</v>
      </c>
      <c r="H138" s="64" t="s">
        <v>2535</v>
      </c>
      <c r="I138" s="58">
        <v>46072.0</v>
      </c>
      <c r="J138" s="68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9" t="str">
        <f t="shared" si="6"/>
        <v>02 - FEV - 26 / 20/02 - SEX</v>
      </c>
      <c r="B139" s="55" t="s">
        <v>2536</v>
      </c>
      <c r="C139" s="55" t="s">
        <v>86</v>
      </c>
      <c r="D139" s="56" t="s">
        <v>378</v>
      </c>
      <c r="E139" s="56" t="s">
        <v>378</v>
      </c>
      <c r="F139" s="56"/>
      <c r="G139" s="57" t="s">
        <v>2537</v>
      </c>
      <c r="H139" s="64" t="s">
        <v>2538</v>
      </c>
      <c r="I139" s="58">
        <v>46072.0</v>
      </c>
      <c r="J139" s="68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29" t="str">
        <f t="shared" si="6"/>
        <v>02 - FEV - 26 / 20/02 - SEX</v>
      </c>
      <c r="B140" s="55" t="s">
        <v>2539</v>
      </c>
      <c r="C140" s="55" t="s">
        <v>86</v>
      </c>
      <c r="D140" s="56" t="s">
        <v>378</v>
      </c>
      <c r="E140" s="56" t="s">
        <v>378</v>
      </c>
      <c r="F140" s="56"/>
      <c r="G140" s="57" t="s">
        <v>2540</v>
      </c>
      <c r="H140" s="64" t="s">
        <v>2541</v>
      </c>
      <c r="I140" s="58">
        <v>46072.0</v>
      </c>
      <c r="J140" s="68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9" t="str">
        <f t="shared" si="6"/>
        <v>02 - FEV - 26 / 20/02 - SEX</v>
      </c>
      <c r="B141" s="55" t="s">
        <v>2542</v>
      </c>
      <c r="C141" s="55" t="s">
        <v>86</v>
      </c>
      <c r="D141" s="56" t="s">
        <v>378</v>
      </c>
      <c r="E141" s="56" t="s">
        <v>378</v>
      </c>
      <c r="F141" s="56"/>
      <c r="G141" s="57" t="s">
        <v>2543</v>
      </c>
      <c r="H141" s="64" t="s">
        <v>2544</v>
      </c>
      <c r="I141" s="58">
        <v>46072.0</v>
      </c>
      <c r="J141" s="68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29" t="str">
        <f t="shared" si="6"/>
        <v>02 - FEV - 26 / 20/02 - SEX</v>
      </c>
      <c r="B142" s="55" t="s">
        <v>2545</v>
      </c>
      <c r="C142" s="55" t="s">
        <v>86</v>
      </c>
      <c r="D142" s="56" t="s">
        <v>378</v>
      </c>
      <c r="E142" s="56" t="s">
        <v>378</v>
      </c>
      <c r="F142" s="56"/>
      <c r="G142" s="57" t="s">
        <v>2546</v>
      </c>
      <c r="H142" s="64" t="s">
        <v>2547</v>
      </c>
      <c r="I142" s="58">
        <v>46072.0</v>
      </c>
      <c r="J142" s="68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9" t="str">
        <f t="shared" si="6"/>
        <v>02 - FEV - 26 / 20/02 - SEX</v>
      </c>
      <c r="B143" s="55" t="s">
        <v>2548</v>
      </c>
      <c r="C143" s="55" t="s">
        <v>86</v>
      </c>
      <c r="D143" s="56" t="s">
        <v>378</v>
      </c>
      <c r="E143" s="56" t="s">
        <v>378</v>
      </c>
      <c r="F143" s="56"/>
      <c r="G143" s="57" t="s">
        <v>2549</v>
      </c>
      <c r="H143" s="64" t="s">
        <v>2550</v>
      </c>
      <c r="I143" s="58">
        <v>46072.0</v>
      </c>
      <c r="J143" s="68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29" t="str">
        <f t="shared" si="6"/>
        <v>02 - FEV - 26 / 20/02 - SEX</v>
      </c>
      <c r="B144" s="55" t="s">
        <v>2551</v>
      </c>
      <c r="C144" s="55" t="s">
        <v>86</v>
      </c>
      <c r="D144" s="56" t="s">
        <v>378</v>
      </c>
      <c r="E144" s="56" t="s">
        <v>378</v>
      </c>
      <c r="F144" s="56"/>
      <c r="G144" s="57" t="s">
        <v>2552</v>
      </c>
      <c r="H144" s="64" t="s">
        <v>2553</v>
      </c>
      <c r="I144" s="58">
        <v>46072.0</v>
      </c>
      <c r="J144" s="68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9" t="str">
        <f t="shared" si="6"/>
        <v>02 - FEV - 26 / 20/02 - SEX</v>
      </c>
      <c r="B145" s="55" t="s">
        <v>2554</v>
      </c>
      <c r="C145" s="55" t="s">
        <v>86</v>
      </c>
      <c r="D145" s="56" t="s">
        <v>378</v>
      </c>
      <c r="E145" s="56" t="s">
        <v>378</v>
      </c>
      <c r="F145" s="56"/>
      <c r="G145" s="57" t="s">
        <v>2555</v>
      </c>
      <c r="H145" s="64" t="s">
        <v>2556</v>
      </c>
      <c r="I145" s="58">
        <v>46072.0</v>
      </c>
      <c r="J145" s="68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29" t="str">
        <f t="shared" si="6"/>
        <v>02 - FEV - 26 / 20/02 - SEX</v>
      </c>
      <c r="B146" s="55" t="s">
        <v>2557</v>
      </c>
      <c r="C146" s="55" t="s">
        <v>86</v>
      </c>
      <c r="D146" s="56" t="s">
        <v>378</v>
      </c>
      <c r="E146" s="56" t="s">
        <v>378</v>
      </c>
      <c r="F146" s="56"/>
      <c r="G146" s="57" t="s">
        <v>2558</v>
      </c>
      <c r="H146" s="64" t="s">
        <v>2559</v>
      </c>
      <c r="I146" s="58">
        <v>46072.0</v>
      </c>
      <c r="J146" s="68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7" t="str">
        <f t="shared" ref="A147:A156" si="7">HYPERLINK("https://drive.google.com/drive/folders/1qdEN7z5-7SDomGc4ZGDb9T5v85CBsLhu", "02 - FEV - 26 / 19/02 - QUI")</f>
        <v>02 - FEV - 26 / 19/02 - QUI</v>
      </c>
      <c r="B147" s="59" t="s">
        <v>2560</v>
      </c>
      <c r="C147" s="59" t="s">
        <v>602</v>
      </c>
      <c r="D147" s="60" t="s">
        <v>378</v>
      </c>
      <c r="E147" s="60" t="s">
        <v>378</v>
      </c>
      <c r="F147" s="60"/>
      <c r="G147" s="61" t="s">
        <v>2561</v>
      </c>
      <c r="H147" s="63" t="s">
        <v>2562</v>
      </c>
      <c r="I147" s="62">
        <v>46072.0</v>
      </c>
      <c r="J147" s="68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29" t="str">
        <f t="shared" si="7"/>
        <v>02 - FEV - 26 / 19/02 - QUI</v>
      </c>
      <c r="B148" s="55" t="s">
        <v>2563</v>
      </c>
      <c r="C148" s="55" t="s">
        <v>602</v>
      </c>
      <c r="D148" s="56" t="s">
        <v>378</v>
      </c>
      <c r="E148" s="56" t="s">
        <v>378</v>
      </c>
      <c r="F148" s="56"/>
      <c r="G148" s="57" t="s">
        <v>2564</v>
      </c>
      <c r="H148" s="64" t="s">
        <v>2565</v>
      </c>
      <c r="I148" s="58">
        <v>46072.0</v>
      </c>
      <c r="J148" s="68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9" t="str">
        <f t="shared" si="7"/>
        <v>02 - FEV - 26 / 19/02 - QUI</v>
      </c>
      <c r="B149" s="55" t="s">
        <v>2566</v>
      </c>
      <c r="C149" s="55" t="s">
        <v>602</v>
      </c>
      <c r="D149" s="56" t="s">
        <v>378</v>
      </c>
      <c r="E149" s="56" t="s">
        <v>378</v>
      </c>
      <c r="F149" s="56"/>
      <c r="G149" s="57" t="s">
        <v>2567</v>
      </c>
      <c r="H149" s="64" t="s">
        <v>2568</v>
      </c>
      <c r="I149" s="58">
        <v>46072.0</v>
      </c>
      <c r="J149" s="68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29" t="str">
        <f t="shared" si="7"/>
        <v>02 - FEV - 26 / 19/02 - QUI</v>
      </c>
      <c r="B150" s="55" t="s">
        <v>2569</v>
      </c>
      <c r="C150" s="55" t="s">
        <v>602</v>
      </c>
      <c r="D150" s="56" t="s">
        <v>378</v>
      </c>
      <c r="E150" s="56" t="s">
        <v>378</v>
      </c>
      <c r="F150" s="56"/>
      <c r="G150" s="57" t="s">
        <v>2570</v>
      </c>
      <c r="H150" s="64" t="s">
        <v>2571</v>
      </c>
      <c r="I150" s="58">
        <v>46072.0</v>
      </c>
      <c r="J150" s="68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9" t="str">
        <f t="shared" si="7"/>
        <v>02 - FEV - 26 / 19/02 - QUI</v>
      </c>
      <c r="B151" s="55" t="s">
        <v>2572</v>
      </c>
      <c r="C151" s="55" t="s">
        <v>602</v>
      </c>
      <c r="D151" s="56" t="s">
        <v>378</v>
      </c>
      <c r="E151" s="56" t="s">
        <v>378</v>
      </c>
      <c r="F151" s="56"/>
      <c r="G151" s="57" t="s">
        <v>2573</v>
      </c>
      <c r="H151" s="64" t="s">
        <v>2574</v>
      </c>
      <c r="I151" s="58">
        <v>46072.0</v>
      </c>
      <c r="J151" s="68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29" t="str">
        <f t="shared" si="7"/>
        <v>02 - FEV - 26 / 19/02 - QUI</v>
      </c>
      <c r="B152" s="55" t="s">
        <v>2575</v>
      </c>
      <c r="C152" s="55" t="s">
        <v>602</v>
      </c>
      <c r="D152" s="56" t="s">
        <v>378</v>
      </c>
      <c r="E152" s="56" t="s">
        <v>378</v>
      </c>
      <c r="F152" s="56"/>
      <c r="G152" s="57" t="s">
        <v>2576</v>
      </c>
      <c r="H152" s="64" t="s">
        <v>2577</v>
      </c>
      <c r="I152" s="58">
        <v>46072.0</v>
      </c>
      <c r="J152" s="68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9" t="str">
        <f t="shared" si="7"/>
        <v>02 - FEV - 26 / 19/02 - QUI</v>
      </c>
      <c r="B153" s="55" t="s">
        <v>2578</v>
      </c>
      <c r="C153" s="55" t="s">
        <v>602</v>
      </c>
      <c r="D153" s="56" t="s">
        <v>378</v>
      </c>
      <c r="E153" s="56" t="s">
        <v>378</v>
      </c>
      <c r="F153" s="56"/>
      <c r="G153" s="57" t="s">
        <v>2579</v>
      </c>
      <c r="H153" s="64" t="s">
        <v>2580</v>
      </c>
      <c r="I153" s="58">
        <v>46072.0</v>
      </c>
      <c r="J153" s="68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29" t="str">
        <f t="shared" si="7"/>
        <v>02 - FEV - 26 / 19/02 - QUI</v>
      </c>
      <c r="B154" s="55" t="s">
        <v>2581</v>
      </c>
      <c r="C154" s="55" t="s">
        <v>602</v>
      </c>
      <c r="D154" s="56" t="s">
        <v>378</v>
      </c>
      <c r="E154" s="56" t="s">
        <v>378</v>
      </c>
      <c r="F154" s="56"/>
      <c r="G154" s="57" t="s">
        <v>2582</v>
      </c>
      <c r="H154" s="64" t="s">
        <v>2583</v>
      </c>
      <c r="I154" s="58">
        <v>46072.0</v>
      </c>
      <c r="J154" s="68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9" t="str">
        <f t="shared" si="7"/>
        <v>02 - FEV - 26 / 19/02 - QUI</v>
      </c>
      <c r="B155" s="55" t="s">
        <v>2584</v>
      </c>
      <c r="C155" s="55" t="s">
        <v>86</v>
      </c>
      <c r="D155" s="56" t="s">
        <v>378</v>
      </c>
      <c r="E155" s="56" t="s">
        <v>378</v>
      </c>
      <c r="F155" s="56"/>
      <c r="G155" s="57" t="s">
        <v>2585</v>
      </c>
      <c r="H155" s="64" t="s">
        <v>2586</v>
      </c>
      <c r="I155" s="58">
        <v>46065.0</v>
      </c>
      <c r="J155" s="68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29" t="str">
        <f t="shared" si="7"/>
        <v>02 - FEV - 26 / 19/02 - QUI</v>
      </c>
      <c r="B156" s="55" t="s">
        <v>2587</v>
      </c>
      <c r="C156" s="55" t="s">
        <v>86</v>
      </c>
      <c r="D156" s="56" t="s">
        <v>378</v>
      </c>
      <c r="E156" s="56" t="s">
        <v>378</v>
      </c>
      <c r="F156" s="56"/>
      <c r="G156" s="57" t="s">
        <v>2588</v>
      </c>
      <c r="H156" s="64" t="s">
        <v>2589</v>
      </c>
      <c r="I156" s="58">
        <v>46065.0</v>
      </c>
      <c r="J156" s="68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7" t="str">
        <f t="shared" ref="A157:A166" si="8">HYPERLINK("https://drive.google.com/drive/folders/18Fa8meJq93D1QGXia3eQ3xKoRpARwKF-", "02 - FEV - 26 / 13/02 - SEX")</f>
        <v>02 - FEV - 26 / 13/02 - SEX</v>
      </c>
      <c r="B157" s="59" t="s">
        <v>2590</v>
      </c>
      <c r="C157" s="59" t="s">
        <v>86</v>
      </c>
      <c r="D157" s="60" t="s">
        <v>378</v>
      </c>
      <c r="E157" s="60" t="s">
        <v>378</v>
      </c>
      <c r="F157" s="60"/>
      <c r="G157" s="61" t="s">
        <v>2591</v>
      </c>
      <c r="H157" s="63" t="s">
        <v>2592</v>
      </c>
      <c r="I157" s="62">
        <v>46065.0</v>
      </c>
      <c r="J157" s="68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29" t="str">
        <f t="shared" si="8"/>
        <v>02 - FEV - 26 / 13/02 - SEX</v>
      </c>
      <c r="B158" s="55" t="s">
        <v>2593</v>
      </c>
      <c r="C158" s="55" t="s">
        <v>86</v>
      </c>
      <c r="D158" s="56" t="s">
        <v>378</v>
      </c>
      <c r="E158" s="56" t="s">
        <v>378</v>
      </c>
      <c r="F158" s="56"/>
      <c r="G158" s="57" t="s">
        <v>2594</v>
      </c>
      <c r="H158" s="64" t="s">
        <v>2595</v>
      </c>
      <c r="I158" s="58">
        <v>46065.0</v>
      </c>
      <c r="J158" s="68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9" t="str">
        <f t="shared" si="8"/>
        <v>02 - FEV - 26 / 13/02 - SEX</v>
      </c>
      <c r="B159" s="55" t="s">
        <v>2596</v>
      </c>
      <c r="C159" s="55" t="s">
        <v>86</v>
      </c>
      <c r="D159" s="56" t="s">
        <v>378</v>
      </c>
      <c r="E159" s="56" t="s">
        <v>378</v>
      </c>
      <c r="F159" s="56"/>
      <c r="G159" s="57" t="s">
        <v>2597</v>
      </c>
      <c r="H159" s="64" t="s">
        <v>2598</v>
      </c>
      <c r="I159" s="58">
        <v>46065.0</v>
      </c>
      <c r="J159" s="68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29" t="str">
        <f t="shared" si="8"/>
        <v>02 - FEV - 26 / 13/02 - SEX</v>
      </c>
      <c r="B160" s="55" t="s">
        <v>2599</v>
      </c>
      <c r="C160" s="55" t="s">
        <v>32</v>
      </c>
      <c r="D160" s="56" t="s">
        <v>378</v>
      </c>
      <c r="E160" s="56" t="s">
        <v>378</v>
      </c>
      <c r="F160" s="56"/>
      <c r="G160" s="57" t="s">
        <v>2600</v>
      </c>
      <c r="H160" s="64" t="s">
        <v>2601</v>
      </c>
      <c r="I160" s="58">
        <v>46065.0</v>
      </c>
      <c r="J160" s="68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9" t="str">
        <f t="shared" si="8"/>
        <v>02 - FEV - 26 / 13/02 - SEX</v>
      </c>
      <c r="B161" s="55" t="s">
        <v>2602</v>
      </c>
      <c r="C161" s="55" t="s">
        <v>32</v>
      </c>
      <c r="D161" s="56" t="s">
        <v>378</v>
      </c>
      <c r="E161" s="56" t="s">
        <v>378</v>
      </c>
      <c r="F161" s="56"/>
      <c r="G161" s="57" t="s">
        <v>2603</v>
      </c>
      <c r="H161" s="64" t="s">
        <v>2604</v>
      </c>
      <c r="I161" s="58">
        <v>46065.0</v>
      </c>
      <c r="J161" s="68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29" t="str">
        <f t="shared" si="8"/>
        <v>02 - FEV - 26 / 13/02 - SEX</v>
      </c>
      <c r="B162" s="55" t="s">
        <v>2605</v>
      </c>
      <c r="C162" s="55" t="s">
        <v>32</v>
      </c>
      <c r="D162" s="56" t="s">
        <v>378</v>
      </c>
      <c r="E162" s="56" t="s">
        <v>378</v>
      </c>
      <c r="F162" s="56"/>
      <c r="G162" s="57" t="s">
        <v>2606</v>
      </c>
      <c r="H162" s="64" t="s">
        <v>2607</v>
      </c>
      <c r="I162" s="58">
        <v>46065.0</v>
      </c>
      <c r="J162" s="68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9" t="str">
        <f t="shared" si="8"/>
        <v>02 - FEV - 26 / 13/02 - SEX</v>
      </c>
      <c r="B163" s="55" t="s">
        <v>2608</v>
      </c>
      <c r="C163" s="55" t="s">
        <v>86</v>
      </c>
      <c r="D163" s="56" t="s">
        <v>378</v>
      </c>
      <c r="E163" s="56" t="s">
        <v>378</v>
      </c>
      <c r="F163" s="56"/>
      <c r="G163" s="57" t="s">
        <v>2609</v>
      </c>
      <c r="H163" s="64" t="s">
        <v>2610</v>
      </c>
      <c r="I163" s="58">
        <v>46064.0</v>
      </c>
      <c r="J163" s="68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29" t="str">
        <f t="shared" si="8"/>
        <v>02 - FEV - 26 / 13/02 - SEX</v>
      </c>
      <c r="B164" s="55" t="s">
        <v>2611</v>
      </c>
      <c r="C164" s="55" t="s">
        <v>86</v>
      </c>
      <c r="D164" s="56" t="s">
        <v>378</v>
      </c>
      <c r="E164" s="56" t="s">
        <v>378</v>
      </c>
      <c r="F164" s="56"/>
      <c r="G164" s="57" t="s">
        <v>2612</v>
      </c>
      <c r="H164" s="64" t="s">
        <v>2613</v>
      </c>
      <c r="I164" s="58">
        <v>46064.0</v>
      </c>
      <c r="J164" s="68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9" t="str">
        <f t="shared" si="8"/>
        <v>02 - FEV - 26 / 13/02 - SEX</v>
      </c>
      <c r="B165" s="55" t="s">
        <v>2614</v>
      </c>
      <c r="C165" s="55" t="s">
        <v>86</v>
      </c>
      <c r="D165" s="56" t="s">
        <v>378</v>
      </c>
      <c r="E165" s="56" t="s">
        <v>378</v>
      </c>
      <c r="F165" s="56"/>
      <c r="G165" s="57" t="s">
        <v>2615</v>
      </c>
      <c r="H165" s="64" t="s">
        <v>2616</v>
      </c>
      <c r="I165" s="58">
        <v>46064.0</v>
      </c>
      <c r="J165" s="68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29" t="str">
        <f t="shared" si="8"/>
        <v>02 - FEV - 26 / 13/02 - SEX</v>
      </c>
      <c r="B166" s="55" t="s">
        <v>2617</v>
      </c>
      <c r="C166" s="55" t="s">
        <v>86</v>
      </c>
      <c r="D166" s="56" t="s">
        <v>378</v>
      </c>
      <c r="E166" s="56" t="s">
        <v>378</v>
      </c>
      <c r="F166" s="56"/>
      <c r="G166" s="57" t="s">
        <v>2618</v>
      </c>
      <c r="H166" s="64" t="s">
        <v>2619</v>
      </c>
      <c r="I166" s="58">
        <v>46064.0</v>
      </c>
      <c r="J166" s="68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7" t="str">
        <f t="shared" ref="A167:A176" si="9">HYPERLINK("https://drive.google.com/drive/folders/1Zdgp1tA5a-pgyHKibrmqK2Uh9qCBt6nV", "02 - FEV - 26 / 12/02 - QUI")</f>
        <v>02 - FEV - 26 / 12/02 - QUI</v>
      </c>
      <c r="B167" s="59" t="s">
        <v>2620</v>
      </c>
      <c r="C167" s="59" t="s">
        <v>86</v>
      </c>
      <c r="D167" s="60" t="s">
        <v>378</v>
      </c>
      <c r="E167" s="60" t="s">
        <v>378</v>
      </c>
      <c r="F167" s="60"/>
      <c r="G167" s="61" t="s">
        <v>2621</v>
      </c>
      <c r="H167" s="63" t="s">
        <v>2622</v>
      </c>
      <c r="I167" s="62">
        <v>46064.0</v>
      </c>
      <c r="J167" s="68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29" t="str">
        <f t="shared" si="9"/>
        <v>02 - FEV - 26 / 12/02 - QUI</v>
      </c>
      <c r="B168" s="55" t="s">
        <v>2623</v>
      </c>
      <c r="C168" s="55" t="s">
        <v>86</v>
      </c>
      <c r="D168" s="56" t="s">
        <v>378</v>
      </c>
      <c r="E168" s="56" t="s">
        <v>378</v>
      </c>
      <c r="F168" s="56"/>
      <c r="G168" s="57" t="s">
        <v>2624</v>
      </c>
      <c r="H168" s="64" t="s">
        <v>2625</v>
      </c>
      <c r="I168" s="58">
        <v>46064.0</v>
      </c>
      <c r="J168" s="68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9" t="str">
        <f t="shared" si="9"/>
        <v>02 - FEV - 26 / 12/02 - QUI</v>
      </c>
      <c r="B169" s="55" t="s">
        <v>2626</v>
      </c>
      <c r="C169" s="55" t="s">
        <v>86</v>
      </c>
      <c r="D169" s="56" t="s">
        <v>378</v>
      </c>
      <c r="E169" s="56" t="s">
        <v>378</v>
      </c>
      <c r="F169" s="56"/>
      <c r="G169" s="57" t="s">
        <v>2627</v>
      </c>
      <c r="H169" s="64" t="s">
        <v>2628</v>
      </c>
      <c r="I169" s="58">
        <v>46064.0</v>
      </c>
      <c r="J169" s="68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29" t="str">
        <f t="shared" si="9"/>
        <v>02 - FEV - 26 / 12/02 - QUI</v>
      </c>
      <c r="B170" s="55" t="s">
        <v>2629</v>
      </c>
      <c r="C170" s="55" t="s">
        <v>86</v>
      </c>
      <c r="D170" s="56" t="s">
        <v>378</v>
      </c>
      <c r="E170" s="56" t="s">
        <v>378</v>
      </c>
      <c r="F170" s="56"/>
      <c r="G170" s="57" t="s">
        <v>2630</v>
      </c>
      <c r="H170" s="64" t="s">
        <v>2631</v>
      </c>
      <c r="I170" s="58">
        <v>46064.0</v>
      </c>
      <c r="J170" s="68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9" t="str">
        <f t="shared" si="9"/>
        <v>02 - FEV - 26 / 12/02 - QUI</v>
      </c>
      <c r="B171" s="55" t="s">
        <v>2632</v>
      </c>
      <c r="C171" s="55" t="s">
        <v>86</v>
      </c>
      <c r="D171" s="56" t="s">
        <v>378</v>
      </c>
      <c r="E171" s="56" t="s">
        <v>378</v>
      </c>
      <c r="F171" s="56"/>
      <c r="G171" s="57" t="s">
        <v>2633</v>
      </c>
      <c r="H171" s="64" t="s">
        <v>2634</v>
      </c>
      <c r="I171" s="58">
        <v>46064.0</v>
      </c>
      <c r="J171" s="68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29" t="str">
        <f t="shared" si="9"/>
        <v>02 - FEV - 26 / 12/02 - QUI</v>
      </c>
      <c r="B172" s="55" t="s">
        <v>2635</v>
      </c>
      <c r="C172" s="55" t="s">
        <v>86</v>
      </c>
      <c r="D172" s="56" t="s">
        <v>378</v>
      </c>
      <c r="E172" s="56" t="s">
        <v>378</v>
      </c>
      <c r="F172" s="56"/>
      <c r="G172" s="57" t="s">
        <v>2636</v>
      </c>
      <c r="H172" s="64" t="s">
        <v>2637</v>
      </c>
      <c r="I172" s="58">
        <v>46064.0</v>
      </c>
      <c r="J172" s="68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9" t="str">
        <f t="shared" si="9"/>
        <v>02 - FEV - 26 / 12/02 - QUI</v>
      </c>
      <c r="B173" s="55" t="s">
        <v>2638</v>
      </c>
      <c r="C173" s="55" t="s">
        <v>86</v>
      </c>
      <c r="D173" s="56" t="s">
        <v>378</v>
      </c>
      <c r="E173" s="56" t="s">
        <v>378</v>
      </c>
      <c r="F173" s="56"/>
      <c r="G173" s="57" t="s">
        <v>2639</v>
      </c>
      <c r="H173" s="64" t="s">
        <v>2640</v>
      </c>
      <c r="I173" s="58">
        <v>46064.0</v>
      </c>
      <c r="J173" s="68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29" t="str">
        <f t="shared" si="9"/>
        <v>02 - FEV - 26 / 12/02 - QUI</v>
      </c>
      <c r="B174" s="55" t="s">
        <v>2641</v>
      </c>
      <c r="C174" s="55" t="s">
        <v>86</v>
      </c>
      <c r="D174" s="56" t="s">
        <v>378</v>
      </c>
      <c r="E174" s="56" t="s">
        <v>378</v>
      </c>
      <c r="F174" s="56"/>
      <c r="G174" s="57" t="s">
        <v>2642</v>
      </c>
      <c r="H174" s="64" t="s">
        <v>2643</v>
      </c>
      <c r="I174" s="58">
        <v>46064.0</v>
      </c>
      <c r="J174" s="68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9" t="str">
        <f t="shared" si="9"/>
        <v>02 - FEV - 26 / 12/02 - QUI</v>
      </c>
      <c r="B175" s="55" t="s">
        <v>2644</v>
      </c>
      <c r="C175" s="55" t="s">
        <v>86</v>
      </c>
      <c r="D175" s="56" t="s">
        <v>378</v>
      </c>
      <c r="E175" s="56" t="s">
        <v>378</v>
      </c>
      <c r="F175" s="56"/>
      <c r="G175" s="57" t="s">
        <v>2645</v>
      </c>
      <c r="H175" s="64" t="s">
        <v>2646</v>
      </c>
      <c r="I175" s="58">
        <v>46063.0</v>
      </c>
      <c r="J175" s="68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29" t="str">
        <f t="shared" si="9"/>
        <v>02 - FEV - 26 / 12/02 - QUI</v>
      </c>
      <c r="B176" s="55" t="s">
        <v>2647</v>
      </c>
      <c r="C176" s="55" t="s">
        <v>86</v>
      </c>
      <c r="D176" s="56" t="s">
        <v>378</v>
      </c>
      <c r="E176" s="56" t="s">
        <v>378</v>
      </c>
      <c r="F176" s="56"/>
      <c r="G176" s="57" t="s">
        <v>2648</v>
      </c>
      <c r="H176" s="64" t="s">
        <v>2649</v>
      </c>
      <c r="I176" s="58">
        <v>46063.0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7" t="str">
        <f t="shared" ref="A177:A186" si="10">HYPERLINK("https://drive.google.com/drive/folders/1FRbumMrJYzC1_NpA0YuXlfed2A52mnJ3", "02 - FEV - 26 / 11/02- QUA")</f>
        <v>02 - FEV - 26 / 11/02- QUA</v>
      </c>
      <c r="B177" s="59" t="s">
        <v>2650</v>
      </c>
      <c r="C177" s="59" t="s">
        <v>86</v>
      </c>
      <c r="D177" s="60" t="s">
        <v>378</v>
      </c>
      <c r="E177" s="60" t="s">
        <v>378</v>
      </c>
      <c r="F177" s="60"/>
      <c r="G177" s="61" t="s">
        <v>2651</v>
      </c>
      <c r="H177" s="63" t="s">
        <v>2652</v>
      </c>
      <c r="I177" s="62">
        <v>46063.0</v>
      </c>
      <c r="J177" s="5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29" t="str">
        <f t="shared" si="10"/>
        <v>02 - FEV - 26 / 11/02- QUA</v>
      </c>
      <c r="B178" s="55" t="s">
        <v>2653</v>
      </c>
      <c r="C178" s="55" t="s">
        <v>86</v>
      </c>
      <c r="D178" s="56" t="s">
        <v>378</v>
      </c>
      <c r="E178" s="56" t="s">
        <v>378</v>
      </c>
      <c r="F178" s="56"/>
      <c r="G178" s="57" t="s">
        <v>2654</v>
      </c>
      <c r="H178" s="64" t="s">
        <v>2655</v>
      </c>
      <c r="I178" s="58">
        <v>46063.0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9" t="str">
        <f t="shared" si="10"/>
        <v>02 - FEV - 26 / 11/02- QUA</v>
      </c>
      <c r="B179" s="55" t="s">
        <v>2656</v>
      </c>
      <c r="C179" s="55" t="s">
        <v>86</v>
      </c>
      <c r="D179" s="56" t="s">
        <v>378</v>
      </c>
      <c r="E179" s="56" t="s">
        <v>378</v>
      </c>
      <c r="F179" s="56"/>
      <c r="G179" s="57" t="s">
        <v>2657</v>
      </c>
      <c r="H179" s="64" t="s">
        <v>2658</v>
      </c>
      <c r="I179" s="58">
        <v>46063.0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29" t="str">
        <f t="shared" si="10"/>
        <v>02 - FEV - 26 / 11/02- QUA</v>
      </c>
      <c r="B180" s="55" t="s">
        <v>2659</v>
      </c>
      <c r="C180" s="55" t="s">
        <v>86</v>
      </c>
      <c r="D180" s="56" t="s">
        <v>378</v>
      </c>
      <c r="E180" s="56" t="s">
        <v>378</v>
      </c>
      <c r="F180" s="56"/>
      <c r="G180" s="57" t="s">
        <v>2660</v>
      </c>
      <c r="H180" s="64" t="s">
        <v>2661</v>
      </c>
      <c r="I180" s="58">
        <v>46063.0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9" t="str">
        <f t="shared" si="10"/>
        <v>02 - FEV - 26 / 11/02- QUA</v>
      </c>
      <c r="B181" s="55" t="s">
        <v>2662</v>
      </c>
      <c r="C181" s="55" t="s">
        <v>86</v>
      </c>
      <c r="D181" s="56" t="s">
        <v>378</v>
      </c>
      <c r="E181" s="56" t="s">
        <v>378</v>
      </c>
      <c r="F181" s="56"/>
      <c r="G181" s="57" t="s">
        <v>2663</v>
      </c>
      <c r="H181" s="64" t="s">
        <v>2664</v>
      </c>
      <c r="I181" s="58">
        <v>46063.0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29" t="str">
        <f t="shared" si="10"/>
        <v>02 - FEV - 26 / 11/02- QUA</v>
      </c>
      <c r="B182" s="55" t="s">
        <v>2665</v>
      </c>
      <c r="C182" s="55" t="s">
        <v>86</v>
      </c>
      <c r="D182" s="56" t="s">
        <v>378</v>
      </c>
      <c r="E182" s="56" t="s">
        <v>378</v>
      </c>
      <c r="F182" s="56"/>
      <c r="G182" s="57" t="s">
        <v>2666</v>
      </c>
      <c r="H182" s="64" t="s">
        <v>2667</v>
      </c>
      <c r="I182" s="58">
        <v>46063.0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9" t="str">
        <f t="shared" si="10"/>
        <v>02 - FEV - 26 / 11/02- QUA</v>
      </c>
      <c r="B183" s="55" t="s">
        <v>2668</v>
      </c>
      <c r="C183" s="55" t="s">
        <v>86</v>
      </c>
      <c r="D183" s="56" t="s">
        <v>378</v>
      </c>
      <c r="E183" s="56" t="s">
        <v>378</v>
      </c>
      <c r="F183" s="56"/>
      <c r="G183" s="57" t="s">
        <v>2669</v>
      </c>
      <c r="H183" s="64" t="s">
        <v>2670</v>
      </c>
      <c r="I183" s="58">
        <v>46063.0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29" t="str">
        <f t="shared" si="10"/>
        <v>02 - FEV - 26 / 11/02- QUA</v>
      </c>
      <c r="B184" s="55" t="s">
        <v>2671</v>
      </c>
      <c r="C184" s="55" t="s">
        <v>86</v>
      </c>
      <c r="D184" s="56" t="s">
        <v>378</v>
      </c>
      <c r="E184" s="56" t="s">
        <v>378</v>
      </c>
      <c r="F184" s="56"/>
      <c r="G184" s="57" t="s">
        <v>2672</v>
      </c>
      <c r="H184" s="64" t="s">
        <v>2673</v>
      </c>
      <c r="I184" s="58">
        <v>46063.0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9" t="str">
        <f t="shared" si="10"/>
        <v>02 - FEV - 26 / 11/02- QUA</v>
      </c>
      <c r="B185" s="55" t="s">
        <v>2674</v>
      </c>
      <c r="C185" s="55" t="s">
        <v>86</v>
      </c>
      <c r="D185" s="56" t="s">
        <v>378</v>
      </c>
      <c r="E185" s="56" t="s">
        <v>378</v>
      </c>
      <c r="F185" s="56"/>
      <c r="G185" s="57" t="s">
        <v>2675</v>
      </c>
      <c r="H185" s="64" t="s">
        <v>2676</v>
      </c>
      <c r="I185" s="58">
        <v>46063.0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29" t="str">
        <f t="shared" si="10"/>
        <v>02 - FEV - 26 / 11/02- QUA</v>
      </c>
      <c r="B186" s="55" t="s">
        <v>2677</v>
      </c>
      <c r="C186" s="55" t="s">
        <v>86</v>
      </c>
      <c r="D186" s="56" t="s">
        <v>378</v>
      </c>
      <c r="E186" s="56" t="s">
        <v>378</v>
      </c>
      <c r="F186" s="56"/>
      <c r="G186" s="57" t="s">
        <v>2678</v>
      </c>
      <c r="H186" s="64" t="s">
        <v>2679</v>
      </c>
      <c r="I186" s="58">
        <v>46063.0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7" t="str">
        <f t="shared" ref="A187:A196" si="11">HYPERLINK("https://drive.google.com/drive/folders/1bsJjnrVWbeHpOmL07pQmH4nQGyPdEAbA", "02 - FEV - 26 / 10/02 - TER")</f>
        <v>02 - FEV - 26 / 10/02 - TER</v>
      </c>
      <c r="B187" s="59" t="s">
        <v>2680</v>
      </c>
      <c r="C187" s="59" t="s">
        <v>86</v>
      </c>
      <c r="D187" s="60" t="s">
        <v>378</v>
      </c>
      <c r="E187" s="60" t="s">
        <v>378</v>
      </c>
      <c r="F187" s="60"/>
      <c r="G187" s="61" t="s">
        <v>2681</v>
      </c>
      <c r="H187" s="63" t="s">
        <v>2682</v>
      </c>
      <c r="I187" s="62">
        <v>46062.0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29" t="str">
        <f t="shared" si="11"/>
        <v>02 - FEV - 26 / 10/02 - TER</v>
      </c>
      <c r="B188" s="55" t="s">
        <v>2683</v>
      </c>
      <c r="C188" s="55" t="s">
        <v>86</v>
      </c>
      <c r="D188" s="56" t="s">
        <v>378</v>
      </c>
      <c r="E188" s="56" t="s">
        <v>378</v>
      </c>
      <c r="F188" s="56"/>
      <c r="G188" s="57" t="s">
        <v>2684</v>
      </c>
      <c r="H188" s="64" t="s">
        <v>2685</v>
      </c>
      <c r="I188" s="58">
        <v>46062.0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9" t="str">
        <f t="shared" si="11"/>
        <v>02 - FEV - 26 / 10/02 - TER</v>
      </c>
      <c r="B189" s="55" t="s">
        <v>2686</v>
      </c>
      <c r="C189" s="55" t="s">
        <v>86</v>
      </c>
      <c r="D189" s="56" t="s">
        <v>378</v>
      </c>
      <c r="E189" s="56" t="s">
        <v>378</v>
      </c>
      <c r="F189" s="56"/>
      <c r="G189" s="57" t="s">
        <v>2687</v>
      </c>
      <c r="H189" s="64" t="s">
        <v>2688</v>
      </c>
      <c r="I189" s="58">
        <v>46062.0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29" t="str">
        <f t="shared" si="11"/>
        <v>02 - FEV - 26 / 10/02 - TER</v>
      </c>
      <c r="B190" s="55" t="s">
        <v>2689</v>
      </c>
      <c r="C190" s="55" t="s">
        <v>86</v>
      </c>
      <c r="D190" s="56" t="s">
        <v>378</v>
      </c>
      <c r="E190" s="56" t="s">
        <v>378</v>
      </c>
      <c r="F190" s="56"/>
      <c r="G190" s="57" t="s">
        <v>2690</v>
      </c>
      <c r="H190" s="64" t="s">
        <v>2691</v>
      </c>
      <c r="I190" s="58">
        <v>46062.0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9" t="str">
        <f t="shared" si="11"/>
        <v>02 - FEV - 26 / 10/02 - TER</v>
      </c>
      <c r="B191" s="55" t="s">
        <v>2692</v>
      </c>
      <c r="C191" s="55" t="s">
        <v>86</v>
      </c>
      <c r="D191" s="56" t="s">
        <v>378</v>
      </c>
      <c r="E191" s="56" t="s">
        <v>378</v>
      </c>
      <c r="F191" s="56"/>
      <c r="G191" s="57" t="s">
        <v>2693</v>
      </c>
      <c r="H191" s="64" t="s">
        <v>2694</v>
      </c>
      <c r="I191" s="58">
        <v>46062.0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29" t="str">
        <f t="shared" si="11"/>
        <v>02 - FEV - 26 / 10/02 - TER</v>
      </c>
      <c r="B192" s="55" t="s">
        <v>2695</v>
      </c>
      <c r="C192" s="55" t="s">
        <v>86</v>
      </c>
      <c r="D192" s="56" t="s">
        <v>378</v>
      </c>
      <c r="E192" s="56" t="s">
        <v>378</v>
      </c>
      <c r="F192" s="56"/>
      <c r="G192" s="57" t="s">
        <v>2696</v>
      </c>
      <c r="H192" s="64" t="s">
        <v>2697</v>
      </c>
      <c r="I192" s="58">
        <v>46062.0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9" t="str">
        <f t="shared" si="11"/>
        <v>02 - FEV - 26 / 10/02 - TER</v>
      </c>
      <c r="B193" s="55" t="s">
        <v>2698</v>
      </c>
      <c r="C193" s="55" t="s">
        <v>86</v>
      </c>
      <c r="D193" s="56" t="s">
        <v>378</v>
      </c>
      <c r="E193" s="56" t="s">
        <v>378</v>
      </c>
      <c r="F193" s="56"/>
      <c r="G193" s="57" t="s">
        <v>2699</v>
      </c>
      <c r="H193" s="64" t="s">
        <v>2700</v>
      </c>
      <c r="I193" s="58">
        <v>46062.0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29" t="str">
        <f t="shared" si="11"/>
        <v>02 - FEV - 26 / 10/02 - TER</v>
      </c>
      <c r="B194" s="55" t="s">
        <v>2701</v>
      </c>
      <c r="C194" s="55" t="s">
        <v>86</v>
      </c>
      <c r="D194" s="56" t="s">
        <v>378</v>
      </c>
      <c r="E194" s="56" t="s">
        <v>378</v>
      </c>
      <c r="F194" s="56"/>
      <c r="G194" s="57" t="s">
        <v>2702</v>
      </c>
      <c r="H194" s="64" t="s">
        <v>2703</v>
      </c>
      <c r="I194" s="58">
        <v>46062.0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9" t="str">
        <f t="shared" si="11"/>
        <v>02 - FEV - 26 / 10/02 - TER</v>
      </c>
      <c r="B195" s="55" t="s">
        <v>2704</v>
      </c>
      <c r="C195" s="55" t="s">
        <v>86</v>
      </c>
      <c r="D195" s="56" t="s">
        <v>378</v>
      </c>
      <c r="E195" s="56" t="s">
        <v>378</v>
      </c>
      <c r="F195" s="56"/>
      <c r="G195" s="57" t="s">
        <v>2705</v>
      </c>
      <c r="H195" s="64" t="s">
        <v>2706</v>
      </c>
      <c r="I195" s="58">
        <v>46062.0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29" t="str">
        <f t="shared" si="11"/>
        <v>02 - FEV - 26 / 10/02 - TER</v>
      </c>
      <c r="B196" s="55" t="s">
        <v>2707</v>
      </c>
      <c r="C196" s="55" t="s">
        <v>86</v>
      </c>
      <c r="D196" s="56" t="s">
        <v>378</v>
      </c>
      <c r="E196" s="56" t="s">
        <v>378</v>
      </c>
      <c r="F196" s="56"/>
      <c r="G196" s="57" t="s">
        <v>2708</v>
      </c>
      <c r="H196" s="64" t="s">
        <v>2709</v>
      </c>
      <c r="I196" s="58">
        <v>46062.0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7" t="str">
        <f t="shared" ref="A197:A206" si="12">HYPERLINK("https://drive.google.com/drive/folders/1p6pKV0hjFTzUviASz4VIDjZM8pKRHsPY", "02 - FEV - 26 / 09/02 - SEG")</f>
        <v>02 - FEV - 26 / 09/02 - SEG</v>
      </c>
      <c r="B197" s="59" t="s">
        <v>2710</v>
      </c>
      <c r="C197" s="59" t="s">
        <v>602</v>
      </c>
      <c r="D197" s="60" t="s">
        <v>378</v>
      </c>
      <c r="E197" s="60" t="s">
        <v>378</v>
      </c>
      <c r="F197" s="60"/>
      <c r="G197" s="61" t="s">
        <v>2711</v>
      </c>
      <c r="H197" s="63" t="s">
        <v>2712</v>
      </c>
      <c r="I197" s="62">
        <v>46062.0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29" t="str">
        <f t="shared" si="12"/>
        <v>02 - FEV - 26 / 09/02 - SEG</v>
      </c>
      <c r="B198" s="55" t="s">
        <v>2713</v>
      </c>
      <c r="C198" s="55" t="s">
        <v>602</v>
      </c>
      <c r="D198" s="56" t="s">
        <v>378</v>
      </c>
      <c r="E198" s="56" t="s">
        <v>378</v>
      </c>
      <c r="F198" s="56"/>
      <c r="G198" s="57" t="s">
        <v>2714</v>
      </c>
      <c r="H198" s="64" t="s">
        <v>2715</v>
      </c>
      <c r="I198" s="58">
        <v>46062.0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9" t="str">
        <f t="shared" si="12"/>
        <v>02 - FEV - 26 / 09/02 - SEG</v>
      </c>
      <c r="B199" s="55" t="s">
        <v>2716</v>
      </c>
      <c r="C199" s="55" t="s">
        <v>602</v>
      </c>
      <c r="D199" s="56" t="s">
        <v>378</v>
      </c>
      <c r="E199" s="56" t="s">
        <v>378</v>
      </c>
      <c r="F199" s="56"/>
      <c r="G199" s="57" t="s">
        <v>2717</v>
      </c>
      <c r="H199" s="64" t="s">
        <v>2718</v>
      </c>
      <c r="I199" s="58">
        <v>46062.0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29" t="str">
        <f t="shared" si="12"/>
        <v>02 - FEV - 26 / 09/02 - SEG</v>
      </c>
      <c r="B200" s="55" t="s">
        <v>2719</v>
      </c>
      <c r="C200" s="55" t="s">
        <v>602</v>
      </c>
      <c r="D200" s="56" t="s">
        <v>378</v>
      </c>
      <c r="E200" s="56" t="s">
        <v>378</v>
      </c>
      <c r="F200" s="56"/>
      <c r="G200" s="57" t="s">
        <v>2720</v>
      </c>
      <c r="H200" s="64" t="s">
        <v>2721</v>
      </c>
      <c r="I200" s="58">
        <v>46062.0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9" t="str">
        <f t="shared" si="12"/>
        <v>02 - FEV - 26 / 09/02 - SEG</v>
      </c>
      <c r="B201" s="55" t="s">
        <v>2722</v>
      </c>
      <c r="C201" s="55" t="s">
        <v>602</v>
      </c>
      <c r="D201" s="56" t="s">
        <v>378</v>
      </c>
      <c r="E201" s="56" t="s">
        <v>378</v>
      </c>
      <c r="F201" s="56"/>
      <c r="G201" s="57" t="s">
        <v>2723</v>
      </c>
      <c r="H201" s="64" t="s">
        <v>2724</v>
      </c>
      <c r="I201" s="58">
        <v>46062.0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29" t="str">
        <f t="shared" si="12"/>
        <v>02 - FEV - 26 / 09/02 - SEG</v>
      </c>
      <c r="B202" s="55" t="s">
        <v>2725</v>
      </c>
      <c r="C202" s="55" t="s">
        <v>602</v>
      </c>
      <c r="D202" s="56" t="s">
        <v>378</v>
      </c>
      <c r="E202" s="56" t="s">
        <v>378</v>
      </c>
      <c r="F202" s="56"/>
      <c r="G202" s="57" t="s">
        <v>2726</v>
      </c>
      <c r="H202" s="64" t="s">
        <v>2727</v>
      </c>
      <c r="I202" s="58">
        <v>46062.0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9" t="str">
        <f t="shared" si="12"/>
        <v>02 - FEV - 26 / 09/02 - SEG</v>
      </c>
      <c r="B203" s="55" t="s">
        <v>2728</v>
      </c>
      <c r="C203" s="55" t="s">
        <v>2729</v>
      </c>
      <c r="D203" s="56" t="s">
        <v>378</v>
      </c>
      <c r="E203" s="56" t="s">
        <v>378</v>
      </c>
      <c r="F203" s="56"/>
      <c r="G203" s="57" t="s">
        <v>2730</v>
      </c>
      <c r="H203" s="64" t="s">
        <v>2731</v>
      </c>
      <c r="I203" s="58">
        <v>46059.0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29" t="str">
        <f t="shared" si="12"/>
        <v>02 - FEV - 26 / 09/02 - SEG</v>
      </c>
      <c r="B204" s="55" t="s">
        <v>2732</v>
      </c>
      <c r="C204" s="55" t="s">
        <v>2729</v>
      </c>
      <c r="D204" s="56" t="s">
        <v>378</v>
      </c>
      <c r="E204" s="56" t="s">
        <v>378</v>
      </c>
      <c r="F204" s="56"/>
      <c r="G204" s="57" t="s">
        <v>2733</v>
      </c>
      <c r="H204" s="64" t="s">
        <v>2734</v>
      </c>
      <c r="I204" s="58">
        <v>46059.0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9" t="str">
        <f t="shared" si="12"/>
        <v>02 - FEV - 26 / 09/02 - SEG</v>
      </c>
      <c r="B205" s="55" t="s">
        <v>2735</v>
      </c>
      <c r="C205" s="55" t="s">
        <v>86</v>
      </c>
      <c r="D205" s="56" t="s">
        <v>378</v>
      </c>
      <c r="E205" s="56" t="s">
        <v>378</v>
      </c>
      <c r="F205" s="56"/>
      <c r="G205" s="57" t="s">
        <v>2736</v>
      </c>
      <c r="H205" s="64" t="s">
        <v>2737</v>
      </c>
      <c r="I205" s="58">
        <v>46058.0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29" t="str">
        <f t="shared" si="12"/>
        <v>02 - FEV - 26 / 09/02 - SEG</v>
      </c>
      <c r="B206" s="55" t="s">
        <v>2738</v>
      </c>
      <c r="C206" s="55" t="s">
        <v>86</v>
      </c>
      <c r="D206" s="56" t="s">
        <v>378</v>
      </c>
      <c r="E206" s="56" t="s">
        <v>378</v>
      </c>
      <c r="F206" s="56"/>
      <c r="G206" s="57" t="s">
        <v>2739</v>
      </c>
      <c r="H206" s="64" t="s">
        <v>2740</v>
      </c>
      <c r="I206" s="58">
        <v>46059.0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7" t="str">
        <f t="shared" ref="A207:A216" si="13">HYPERLINK("https://drive.google.com/drive/folders/1QXAgENWMlF1M633QNRAXxXgpnSL-LjHN", "02 - FEV - 26 / 06/02 - SEX")</f>
        <v>02 - FEV - 26 / 06/02 - SEX</v>
      </c>
      <c r="B207" s="59" t="s">
        <v>2741</v>
      </c>
      <c r="C207" s="59" t="s">
        <v>86</v>
      </c>
      <c r="D207" s="60" t="s">
        <v>378</v>
      </c>
      <c r="E207" s="60" t="s">
        <v>378</v>
      </c>
      <c r="F207" s="60"/>
      <c r="G207" s="61" t="s">
        <v>2742</v>
      </c>
      <c r="H207" s="63" t="s">
        <v>2743</v>
      </c>
      <c r="I207" s="62">
        <v>46059.0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29" t="str">
        <f t="shared" si="13"/>
        <v>02 - FEV - 26 / 06/02 - SEX</v>
      </c>
      <c r="B208" s="55" t="s">
        <v>2744</v>
      </c>
      <c r="C208" s="55" t="s">
        <v>86</v>
      </c>
      <c r="D208" s="56" t="s">
        <v>378</v>
      </c>
      <c r="E208" s="56" t="s">
        <v>378</v>
      </c>
      <c r="F208" s="56"/>
      <c r="G208" s="57" t="s">
        <v>2745</v>
      </c>
      <c r="H208" s="64" t="s">
        <v>2746</v>
      </c>
      <c r="I208" s="58">
        <v>46059.0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9" t="str">
        <f t="shared" si="13"/>
        <v>02 - FEV - 26 / 06/02 - SEX</v>
      </c>
      <c r="B209" s="55" t="s">
        <v>2747</v>
      </c>
      <c r="C209" s="55" t="s">
        <v>86</v>
      </c>
      <c r="D209" s="56" t="s">
        <v>378</v>
      </c>
      <c r="E209" s="56" t="s">
        <v>378</v>
      </c>
      <c r="F209" s="56"/>
      <c r="G209" s="57" t="s">
        <v>2748</v>
      </c>
      <c r="H209" s="64" t="s">
        <v>2749</v>
      </c>
      <c r="I209" s="58">
        <v>46059.0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29" t="str">
        <f t="shared" si="13"/>
        <v>02 - FEV - 26 / 06/02 - SEX</v>
      </c>
      <c r="B210" s="55" t="s">
        <v>2750</v>
      </c>
      <c r="C210" s="55" t="s">
        <v>86</v>
      </c>
      <c r="D210" s="56" t="s">
        <v>378</v>
      </c>
      <c r="E210" s="56" t="s">
        <v>378</v>
      </c>
      <c r="F210" s="56"/>
      <c r="G210" s="57" t="s">
        <v>2751</v>
      </c>
      <c r="H210" s="64" t="s">
        <v>2752</v>
      </c>
      <c r="I210" s="58">
        <v>46059.0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9" t="str">
        <f t="shared" si="13"/>
        <v>02 - FEV - 26 / 06/02 - SEX</v>
      </c>
      <c r="B211" s="55" t="s">
        <v>2753</v>
      </c>
      <c r="C211" s="55" t="s">
        <v>86</v>
      </c>
      <c r="D211" s="56" t="s">
        <v>378</v>
      </c>
      <c r="E211" s="56" t="s">
        <v>378</v>
      </c>
      <c r="F211" s="56"/>
      <c r="G211" s="57" t="s">
        <v>2754</v>
      </c>
      <c r="H211" s="64" t="s">
        <v>2755</v>
      </c>
      <c r="I211" s="58">
        <v>46058.0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29" t="str">
        <f t="shared" si="13"/>
        <v>02 - FEV - 26 / 06/02 - SEX</v>
      </c>
      <c r="B212" s="55" t="s">
        <v>2756</v>
      </c>
      <c r="C212" s="55" t="s">
        <v>86</v>
      </c>
      <c r="D212" s="56" t="s">
        <v>378</v>
      </c>
      <c r="E212" s="56" t="s">
        <v>378</v>
      </c>
      <c r="F212" s="56"/>
      <c r="G212" s="57" t="s">
        <v>2757</v>
      </c>
      <c r="H212" s="64" t="s">
        <v>2758</v>
      </c>
      <c r="I212" s="58">
        <v>46058.0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9" t="str">
        <f t="shared" si="13"/>
        <v>02 - FEV - 26 / 06/02 - SEX</v>
      </c>
      <c r="B213" s="55" t="s">
        <v>2759</v>
      </c>
      <c r="C213" s="55" t="s">
        <v>86</v>
      </c>
      <c r="D213" s="56" t="s">
        <v>378</v>
      </c>
      <c r="E213" s="56" t="s">
        <v>378</v>
      </c>
      <c r="F213" s="56"/>
      <c r="G213" s="57" t="s">
        <v>2760</v>
      </c>
      <c r="H213" s="64" t="s">
        <v>2761</v>
      </c>
      <c r="I213" s="58">
        <v>46058.0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29" t="str">
        <f t="shared" si="13"/>
        <v>02 - FEV - 26 / 06/02 - SEX</v>
      </c>
      <c r="B214" s="55" t="s">
        <v>2762</v>
      </c>
      <c r="C214" s="55" t="s">
        <v>86</v>
      </c>
      <c r="D214" s="56" t="s">
        <v>378</v>
      </c>
      <c r="E214" s="56" t="s">
        <v>378</v>
      </c>
      <c r="F214" s="56"/>
      <c r="G214" s="57" t="s">
        <v>2763</v>
      </c>
      <c r="H214" s="64" t="s">
        <v>2764</v>
      </c>
      <c r="I214" s="58">
        <v>46058.0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9" t="str">
        <f t="shared" si="13"/>
        <v>02 - FEV - 26 / 06/02 - SEX</v>
      </c>
      <c r="B215" s="55" t="s">
        <v>2765</v>
      </c>
      <c r="C215" s="55" t="s">
        <v>86</v>
      </c>
      <c r="D215" s="56" t="s">
        <v>378</v>
      </c>
      <c r="E215" s="56" t="s">
        <v>378</v>
      </c>
      <c r="F215" s="56"/>
      <c r="G215" s="57" t="s">
        <v>2766</v>
      </c>
      <c r="H215" s="64" t="s">
        <v>2767</v>
      </c>
      <c r="I215" s="58">
        <v>46058.0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29" t="str">
        <f t="shared" si="13"/>
        <v>02 - FEV - 26 / 06/02 - SEX</v>
      </c>
      <c r="B216" s="55" t="s">
        <v>2768</v>
      </c>
      <c r="C216" s="55" t="s">
        <v>86</v>
      </c>
      <c r="D216" s="56" t="s">
        <v>378</v>
      </c>
      <c r="E216" s="56" t="s">
        <v>378</v>
      </c>
      <c r="F216" s="56"/>
      <c r="G216" s="57" t="s">
        <v>2769</v>
      </c>
      <c r="H216" s="64" t="s">
        <v>2770</v>
      </c>
      <c r="I216" s="58">
        <v>46058.0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7" t="str">
        <f t="shared" ref="A217:A226" si="14">HYPERLINK("https://drive.google.com/drive/folders/1A5nO2iKFb4MXuf_uDVs-nOGGrorSyPXe", "02 - FEV - 26 / 05/02 - QUI")</f>
        <v>02 - FEV - 26 / 05/02 - QUI</v>
      </c>
      <c r="B217" s="59" t="s">
        <v>2771</v>
      </c>
      <c r="C217" s="59" t="s">
        <v>602</v>
      </c>
      <c r="D217" s="60" t="s">
        <v>378</v>
      </c>
      <c r="E217" s="60" t="s">
        <v>378</v>
      </c>
      <c r="F217" s="60"/>
      <c r="G217" s="61" t="s">
        <v>2772</v>
      </c>
      <c r="H217" s="63" t="s">
        <v>2773</v>
      </c>
      <c r="I217" s="62">
        <v>46058.0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29" t="str">
        <f t="shared" si="14"/>
        <v>02 - FEV - 26 / 05/02 - QUI</v>
      </c>
      <c r="B218" s="55" t="s">
        <v>2774</v>
      </c>
      <c r="C218" s="55" t="s">
        <v>2729</v>
      </c>
      <c r="D218" s="56" t="s">
        <v>378</v>
      </c>
      <c r="E218" s="56" t="s">
        <v>378</v>
      </c>
      <c r="F218" s="56"/>
      <c r="G218" s="57" t="s">
        <v>2775</v>
      </c>
      <c r="H218" s="64" t="s">
        <v>2776</v>
      </c>
      <c r="I218" s="58">
        <v>46058.0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9" t="str">
        <f t="shared" si="14"/>
        <v>02 - FEV - 26 / 05/02 - QUI</v>
      </c>
      <c r="B219" s="55" t="s">
        <v>2777</v>
      </c>
      <c r="C219" s="55" t="s">
        <v>86</v>
      </c>
      <c r="D219" s="56" t="s">
        <v>378</v>
      </c>
      <c r="E219" s="56" t="s">
        <v>378</v>
      </c>
      <c r="F219" s="56"/>
      <c r="G219" s="57" t="s">
        <v>2778</v>
      </c>
      <c r="H219" s="64" t="s">
        <v>2779</v>
      </c>
      <c r="I219" s="58">
        <v>46058.0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29" t="str">
        <f t="shared" si="14"/>
        <v>02 - FEV - 26 / 05/02 - QUI</v>
      </c>
      <c r="B220" s="55" t="s">
        <v>2780</v>
      </c>
      <c r="C220" s="55" t="s">
        <v>86</v>
      </c>
      <c r="D220" s="56" t="s">
        <v>378</v>
      </c>
      <c r="E220" s="56" t="s">
        <v>378</v>
      </c>
      <c r="F220" s="56"/>
      <c r="G220" s="57" t="s">
        <v>2781</v>
      </c>
      <c r="H220" s="64" t="s">
        <v>2782</v>
      </c>
      <c r="I220" s="58">
        <v>46058.0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9" t="str">
        <f t="shared" si="14"/>
        <v>02 - FEV - 26 / 05/02 - QUI</v>
      </c>
      <c r="B221" s="55" t="s">
        <v>2783</v>
      </c>
      <c r="C221" s="55" t="s">
        <v>86</v>
      </c>
      <c r="D221" s="56" t="s">
        <v>378</v>
      </c>
      <c r="E221" s="56" t="s">
        <v>378</v>
      </c>
      <c r="F221" s="56"/>
      <c r="G221" s="57" t="s">
        <v>2784</v>
      </c>
      <c r="H221" s="64" t="s">
        <v>2785</v>
      </c>
      <c r="I221" s="58">
        <v>46058.0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29" t="str">
        <f t="shared" si="14"/>
        <v>02 - FEV - 26 / 05/02 - QUI</v>
      </c>
      <c r="B222" s="55" t="s">
        <v>2786</v>
      </c>
      <c r="C222" s="55" t="s">
        <v>86</v>
      </c>
      <c r="D222" s="56" t="s">
        <v>378</v>
      </c>
      <c r="E222" s="56" t="s">
        <v>378</v>
      </c>
      <c r="F222" s="56"/>
      <c r="G222" s="57" t="s">
        <v>2787</v>
      </c>
      <c r="H222" s="64" t="s">
        <v>2788</v>
      </c>
      <c r="I222" s="58">
        <v>46058.0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9" t="str">
        <f t="shared" si="14"/>
        <v>02 - FEV - 26 / 05/02 - QUI</v>
      </c>
      <c r="B223" s="55" t="s">
        <v>2789</v>
      </c>
      <c r="C223" s="55" t="s">
        <v>86</v>
      </c>
      <c r="D223" s="56" t="s">
        <v>378</v>
      </c>
      <c r="E223" s="56" t="s">
        <v>378</v>
      </c>
      <c r="F223" s="56"/>
      <c r="G223" s="57" t="s">
        <v>2790</v>
      </c>
      <c r="H223" s="64" t="s">
        <v>2791</v>
      </c>
      <c r="I223" s="58">
        <v>46058.0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29" t="str">
        <f t="shared" si="14"/>
        <v>02 - FEV - 26 / 05/02 - QUI</v>
      </c>
      <c r="B224" s="55" t="s">
        <v>2792</v>
      </c>
      <c r="C224" s="55" t="s">
        <v>86</v>
      </c>
      <c r="D224" s="56" t="s">
        <v>378</v>
      </c>
      <c r="E224" s="56" t="s">
        <v>378</v>
      </c>
      <c r="F224" s="56"/>
      <c r="G224" s="57" t="s">
        <v>2793</v>
      </c>
      <c r="H224" s="64" t="s">
        <v>2794</v>
      </c>
      <c r="I224" s="58">
        <v>46058.0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9" t="str">
        <f t="shared" si="14"/>
        <v>02 - FEV - 26 / 05/02 - QUI</v>
      </c>
      <c r="B225" s="55" t="s">
        <v>2795</v>
      </c>
      <c r="C225" s="55" t="s">
        <v>86</v>
      </c>
      <c r="D225" s="56" t="s">
        <v>378</v>
      </c>
      <c r="E225" s="56" t="s">
        <v>378</v>
      </c>
      <c r="F225" s="56"/>
      <c r="G225" s="57" t="s">
        <v>2796</v>
      </c>
      <c r="H225" s="64" t="s">
        <v>2797</v>
      </c>
      <c r="I225" s="58">
        <v>46058.0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29" t="str">
        <f t="shared" si="14"/>
        <v>02 - FEV - 26 / 05/02 - QUI</v>
      </c>
      <c r="B226" s="55" t="s">
        <v>2798</v>
      </c>
      <c r="C226" s="55" t="s">
        <v>86</v>
      </c>
      <c r="D226" s="56" t="s">
        <v>378</v>
      </c>
      <c r="E226" s="56" t="s">
        <v>378</v>
      </c>
      <c r="F226" s="56"/>
      <c r="G226" s="57" t="s">
        <v>2799</v>
      </c>
      <c r="H226" s="64" t="s">
        <v>2800</v>
      </c>
      <c r="I226" s="58">
        <v>46058.0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7" t="str">
        <f t="shared" ref="A227:A236" si="15">HYPERLINK("https://drive.google.com/drive/folders/1sZcxcAUK56Y9kT4SVTm2URGIWHlRWVCg", "02 - FEV - 26 / 04/02 - QUA")</f>
        <v>02 - FEV - 26 / 04/02 - QUA</v>
      </c>
      <c r="B227" s="59" t="s">
        <v>2801</v>
      </c>
      <c r="C227" s="59" t="s">
        <v>86</v>
      </c>
      <c r="D227" s="60" t="s">
        <v>378</v>
      </c>
      <c r="E227" s="60" t="s">
        <v>378</v>
      </c>
      <c r="F227" s="60"/>
      <c r="G227" s="61" t="s">
        <v>2802</v>
      </c>
      <c r="H227" s="63" t="s">
        <v>2803</v>
      </c>
      <c r="I227" s="62">
        <v>46058.0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29" t="str">
        <f t="shared" si="15"/>
        <v>02 - FEV - 26 / 04/02 - QUA</v>
      </c>
      <c r="B228" s="55" t="s">
        <v>2804</v>
      </c>
      <c r="C228" s="55" t="s">
        <v>2729</v>
      </c>
      <c r="D228" s="56" t="s">
        <v>378</v>
      </c>
      <c r="E228" s="56" t="s">
        <v>378</v>
      </c>
      <c r="F228" s="56"/>
      <c r="G228" s="57" t="s">
        <v>2805</v>
      </c>
      <c r="H228" s="64" t="s">
        <v>2806</v>
      </c>
      <c r="I228" s="58">
        <v>46057.0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9" t="str">
        <f t="shared" si="15"/>
        <v>02 - FEV - 26 / 04/02 - QUA</v>
      </c>
      <c r="B229" s="55" t="s">
        <v>2807</v>
      </c>
      <c r="C229" s="55" t="s">
        <v>2729</v>
      </c>
      <c r="D229" s="56" t="s">
        <v>378</v>
      </c>
      <c r="E229" s="56" t="s">
        <v>378</v>
      </c>
      <c r="F229" s="56"/>
      <c r="G229" s="57" t="s">
        <v>2808</v>
      </c>
      <c r="H229" s="64" t="s">
        <v>2809</v>
      </c>
      <c r="I229" s="58">
        <v>46057.0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29" t="str">
        <f t="shared" si="15"/>
        <v>02 - FEV - 26 / 04/02 - QUA</v>
      </c>
      <c r="B230" s="55" t="s">
        <v>2810</v>
      </c>
      <c r="C230" s="55" t="s">
        <v>2729</v>
      </c>
      <c r="D230" s="56" t="s">
        <v>378</v>
      </c>
      <c r="E230" s="56" t="s">
        <v>378</v>
      </c>
      <c r="F230" s="56"/>
      <c r="G230" s="57" t="s">
        <v>2811</v>
      </c>
      <c r="H230" s="64" t="s">
        <v>2812</v>
      </c>
      <c r="I230" s="58">
        <v>46057.0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9" t="str">
        <f t="shared" si="15"/>
        <v>02 - FEV - 26 / 04/02 - QUA</v>
      </c>
      <c r="B231" s="55" t="s">
        <v>2813</v>
      </c>
      <c r="C231" s="55" t="s">
        <v>2729</v>
      </c>
      <c r="D231" s="56" t="s">
        <v>378</v>
      </c>
      <c r="E231" s="56" t="s">
        <v>378</v>
      </c>
      <c r="F231" s="56"/>
      <c r="G231" s="57" t="s">
        <v>2814</v>
      </c>
      <c r="H231" s="64" t="s">
        <v>2815</v>
      </c>
      <c r="I231" s="58">
        <v>46057.0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29" t="str">
        <f t="shared" si="15"/>
        <v>02 - FEV - 26 / 04/02 - QUA</v>
      </c>
      <c r="B232" s="55" t="s">
        <v>2816</v>
      </c>
      <c r="C232" s="55" t="s">
        <v>2729</v>
      </c>
      <c r="D232" s="56" t="s">
        <v>378</v>
      </c>
      <c r="E232" s="56" t="s">
        <v>378</v>
      </c>
      <c r="F232" s="56"/>
      <c r="G232" s="57" t="s">
        <v>2817</v>
      </c>
      <c r="H232" s="64" t="s">
        <v>2818</v>
      </c>
      <c r="I232" s="58">
        <v>46057.0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9" t="str">
        <f t="shared" si="15"/>
        <v>02 - FEV - 26 / 04/02 - QUA</v>
      </c>
      <c r="B233" s="55" t="s">
        <v>2819</v>
      </c>
      <c r="C233" s="55" t="s">
        <v>2729</v>
      </c>
      <c r="D233" s="56" t="s">
        <v>378</v>
      </c>
      <c r="E233" s="56" t="s">
        <v>378</v>
      </c>
      <c r="F233" s="56"/>
      <c r="G233" s="57" t="s">
        <v>2820</v>
      </c>
      <c r="H233" s="64" t="s">
        <v>2821</v>
      </c>
      <c r="I233" s="58">
        <v>46057.0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29" t="str">
        <f t="shared" si="15"/>
        <v>02 - FEV - 26 / 04/02 - QUA</v>
      </c>
      <c r="B234" s="55" t="s">
        <v>2822</v>
      </c>
      <c r="C234" s="55" t="s">
        <v>2729</v>
      </c>
      <c r="D234" s="56" t="s">
        <v>378</v>
      </c>
      <c r="E234" s="56" t="s">
        <v>378</v>
      </c>
      <c r="F234" s="56"/>
      <c r="G234" s="57" t="s">
        <v>2823</v>
      </c>
      <c r="H234" s="64" t="s">
        <v>2824</v>
      </c>
      <c r="I234" s="58">
        <v>46057.0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9" t="str">
        <f t="shared" si="15"/>
        <v>02 - FEV - 26 / 04/02 - QUA</v>
      </c>
      <c r="B235" s="55" t="s">
        <v>2825</v>
      </c>
      <c r="C235" s="55" t="s">
        <v>2729</v>
      </c>
      <c r="D235" s="56" t="s">
        <v>378</v>
      </c>
      <c r="E235" s="56" t="s">
        <v>378</v>
      </c>
      <c r="F235" s="56"/>
      <c r="G235" s="57" t="s">
        <v>2826</v>
      </c>
      <c r="H235" s="64" t="s">
        <v>2827</v>
      </c>
      <c r="I235" s="58">
        <v>46057.0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29" t="str">
        <f t="shared" si="15"/>
        <v>02 - FEV - 26 / 04/02 - QUA</v>
      </c>
      <c r="B236" s="55" t="s">
        <v>2828</v>
      </c>
      <c r="C236" s="55" t="s">
        <v>2729</v>
      </c>
      <c r="D236" s="56" t="s">
        <v>378</v>
      </c>
      <c r="E236" s="56" t="s">
        <v>378</v>
      </c>
      <c r="F236" s="56"/>
      <c r="G236" s="57" t="s">
        <v>2829</v>
      </c>
      <c r="H236" s="64" t="s">
        <v>2830</v>
      </c>
      <c r="I236" s="58">
        <v>46057.0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7" t="str">
        <f t="shared" ref="A237:A246" si="16">HYPERLINK("https://drive.google.com/drive/folders/1q-G4Tyjml2E0y9lsJ13z_KEiBAB7HalX", "02 - FEV - 26 / 03/02 - TER")</f>
        <v>02 - FEV - 26 / 03/02 - TER</v>
      </c>
      <c r="B237" s="59" t="s">
        <v>2831</v>
      </c>
      <c r="C237" s="59" t="s">
        <v>86</v>
      </c>
      <c r="D237" s="60" t="s">
        <v>378</v>
      </c>
      <c r="E237" s="60" t="s">
        <v>378</v>
      </c>
      <c r="F237" s="60"/>
      <c r="G237" s="61" t="s">
        <v>2832</v>
      </c>
      <c r="H237" s="63" t="s">
        <v>2833</v>
      </c>
      <c r="I237" s="62">
        <v>46056.0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29" t="str">
        <f t="shared" si="16"/>
        <v>02 - FEV - 26 / 03/02 - TER</v>
      </c>
      <c r="B238" s="55" t="s">
        <v>2834</v>
      </c>
      <c r="C238" s="55" t="s">
        <v>86</v>
      </c>
      <c r="D238" s="56" t="s">
        <v>378</v>
      </c>
      <c r="E238" s="56" t="s">
        <v>378</v>
      </c>
      <c r="F238" s="56"/>
      <c r="G238" s="57" t="s">
        <v>2835</v>
      </c>
      <c r="H238" s="64" t="s">
        <v>2836</v>
      </c>
      <c r="I238" s="58">
        <v>46056.0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9" t="str">
        <f t="shared" si="16"/>
        <v>02 - FEV - 26 / 03/02 - TER</v>
      </c>
      <c r="B239" s="55" t="s">
        <v>2837</v>
      </c>
      <c r="C239" s="55" t="s">
        <v>86</v>
      </c>
      <c r="D239" s="56" t="s">
        <v>378</v>
      </c>
      <c r="E239" s="56" t="s">
        <v>378</v>
      </c>
      <c r="F239" s="56"/>
      <c r="G239" s="57" t="s">
        <v>2838</v>
      </c>
      <c r="H239" s="64" t="s">
        <v>2839</v>
      </c>
      <c r="I239" s="58">
        <v>46056.0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29" t="str">
        <f t="shared" si="16"/>
        <v>02 - FEV - 26 / 03/02 - TER</v>
      </c>
      <c r="B240" s="55" t="s">
        <v>2840</v>
      </c>
      <c r="C240" s="55" t="s">
        <v>86</v>
      </c>
      <c r="D240" s="56" t="s">
        <v>378</v>
      </c>
      <c r="E240" s="56" t="s">
        <v>378</v>
      </c>
      <c r="F240" s="56"/>
      <c r="G240" s="57" t="s">
        <v>2841</v>
      </c>
      <c r="H240" s="64" t="s">
        <v>2842</v>
      </c>
      <c r="I240" s="58">
        <v>46056.0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9" t="str">
        <f t="shared" si="16"/>
        <v>02 - FEV - 26 / 03/02 - TER</v>
      </c>
      <c r="B241" s="55" t="s">
        <v>2843</v>
      </c>
      <c r="C241" s="55" t="s">
        <v>86</v>
      </c>
      <c r="D241" s="56" t="s">
        <v>378</v>
      </c>
      <c r="E241" s="56" t="s">
        <v>378</v>
      </c>
      <c r="F241" s="56"/>
      <c r="G241" s="57" t="s">
        <v>2844</v>
      </c>
      <c r="H241" s="64" t="s">
        <v>2845</v>
      </c>
      <c r="I241" s="58">
        <v>46056.0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29" t="str">
        <f t="shared" si="16"/>
        <v>02 - FEV - 26 / 03/02 - TER</v>
      </c>
      <c r="B242" s="55" t="s">
        <v>2846</v>
      </c>
      <c r="C242" s="55" t="s">
        <v>86</v>
      </c>
      <c r="D242" s="56" t="s">
        <v>378</v>
      </c>
      <c r="E242" s="56" t="s">
        <v>378</v>
      </c>
      <c r="F242" s="56"/>
      <c r="G242" s="57" t="s">
        <v>2847</v>
      </c>
      <c r="H242" s="64" t="s">
        <v>2848</v>
      </c>
      <c r="I242" s="58">
        <v>46055.0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9" t="str">
        <f t="shared" si="16"/>
        <v>02 - FEV - 26 / 03/02 - TER</v>
      </c>
      <c r="B243" s="55" t="s">
        <v>2849</v>
      </c>
      <c r="C243" s="55" t="s">
        <v>86</v>
      </c>
      <c r="D243" s="56" t="s">
        <v>378</v>
      </c>
      <c r="E243" s="56" t="s">
        <v>378</v>
      </c>
      <c r="F243" s="56"/>
      <c r="G243" s="57" t="s">
        <v>2850</v>
      </c>
      <c r="H243" s="64" t="s">
        <v>2851</v>
      </c>
      <c r="I243" s="58">
        <v>46055.0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29" t="str">
        <f t="shared" si="16"/>
        <v>02 - FEV - 26 / 03/02 - TER</v>
      </c>
      <c r="B244" s="55" t="s">
        <v>2852</v>
      </c>
      <c r="C244" s="55" t="s">
        <v>86</v>
      </c>
      <c r="D244" s="56" t="s">
        <v>378</v>
      </c>
      <c r="E244" s="56" t="s">
        <v>378</v>
      </c>
      <c r="F244" s="56"/>
      <c r="G244" s="57" t="s">
        <v>2853</v>
      </c>
      <c r="H244" s="64" t="s">
        <v>2854</v>
      </c>
      <c r="I244" s="58">
        <v>46055.0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9" t="str">
        <f t="shared" si="16"/>
        <v>02 - FEV - 26 / 03/02 - TER</v>
      </c>
      <c r="B245" s="55" t="s">
        <v>2855</v>
      </c>
      <c r="C245" s="55" t="s">
        <v>86</v>
      </c>
      <c r="D245" s="56" t="s">
        <v>378</v>
      </c>
      <c r="E245" s="56" t="s">
        <v>378</v>
      </c>
      <c r="F245" s="56"/>
      <c r="G245" s="57" t="s">
        <v>2856</v>
      </c>
      <c r="H245" s="64" t="s">
        <v>2857</v>
      </c>
      <c r="I245" s="58">
        <v>46055.0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29" t="str">
        <f t="shared" si="16"/>
        <v>02 - FEV - 26 / 03/02 - TER</v>
      </c>
      <c r="B246" s="55" t="s">
        <v>2858</v>
      </c>
      <c r="C246" s="55" t="s">
        <v>86</v>
      </c>
      <c r="D246" s="56" t="s">
        <v>378</v>
      </c>
      <c r="E246" s="56" t="s">
        <v>378</v>
      </c>
      <c r="F246" s="56"/>
      <c r="G246" s="57" t="s">
        <v>2859</v>
      </c>
      <c r="H246" s="64" t="s">
        <v>2860</v>
      </c>
      <c r="I246" s="58">
        <v>46055.0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7" t="str">
        <f t="shared" ref="A247:A256" si="17">HYPERLINK("https://drive.google.com/drive/folders/1IbUGqlGokd0g6HZ7GmCKTQVEkn3HZKQQ", "02 - FEV - 26 / 02/02 - SEG")</f>
        <v>02 - FEV - 26 / 02/02 - SEG</v>
      </c>
      <c r="B247" s="59" t="s">
        <v>2861</v>
      </c>
      <c r="C247" s="59" t="s">
        <v>86</v>
      </c>
      <c r="D247" s="60" t="s">
        <v>378</v>
      </c>
      <c r="E247" s="60" t="s">
        <v>378</v>
      </c>
      <c r="F247" s="60"/>
      <c r="G247" s="61" t="s">
        <v>2862</v>
      </c>
      <c r="H247" s="63" t="s">
        <v>2863</v>
      </c>
      <c r="I247" s="62">
        <v>46055.0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29" t="str">
        <f t="shared" si="17"/>
        <v>02 - FEV - 26 / 02/02 - SEG</v>
      </c>
      <c r="B248" s="55" t="s">
        <v>2864</v>
      </c>
      <c r="C248" s="55" t="s">
        <v>86</v>
      </c>
      <c r="D248" s="56" t="s">
        <v>378</v>
      </c>
      <c r="E248" s="56" t="s">
        <v>378</v>
      </c>
      <c r="F248" s="56"/>
      <c r="G248" s="57" t="s">
        <v>2865</v>
      </c>
      <c r="H248" s="64" t="s">
        <v>2866</v>
      </c>
      <c r="I248" s="58">
        <v>46055.0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9" t="str">
        <f t="shared" si="17"/>
        <v>02 - FEV - 26 / 02/02 - SEG</v>
      </c>
      <c r="B249" s="55" t="s">
        <v>2867</v>
      </c>
      <c r="C249" s="55" t="s">
        <v>86</v>
      </c>
      <c r="D249" s="56" t="s">
        <v>378</v>
      </c>
      <c r="E249" s="56" t="s">
        <v>378</v>
      </c>
      <c r="F249" s="56"/>
      <c r="G249" s="57" t="s">
        <v>2868</v>
      </c>
      <c r="H249" s="64" t="s">
        <v>2869</v>
      </c>
      <c r="I249" s="58">
        <v>46055.0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29" t="str">
        <f t="shared" si="17"/>
        <v>02 - FEV - 26 / 02/02 - SEG</v>
      </c>
      <c r="B250" s="55" t="s">
        <v>2870</v>
      </c>
      <c r="C250" s="55" t="s">
        <v>86</v>
      </c>
      <c r="D250" s="56" t="s">
        <v>378</v>
      </c>
      <c r="E250" s="56" t="s">
        <v>378</v>
      </c>
      <c r="F250" s="56"/>
      <c r="G250" s="57" t="s">
        <v>2871</v>
      </c>
      <c r="H250" s="64" t="s">
        <v>2872</v>
      </c>
      <c r="I250" s="58">
        <v>46055.0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9" t="str">
        <f t="shared" si="17"/>
        <v>02 - FEV - 26 / 02/02 - SEG</v>
      </c>
      <c r="B251" s="55" t="s">
        <v>2873</v>
      </c>
      <c r="C251" s="55" t="s">
        <v>86</v>
      </c>
      <c r="D251" s="56" t="s">
        <v>378</v>
      </c>
      <c r="E251" s="56" t="s">
        <v>378</v>
      </c>
      <c r="F251" s="56"/>
      <c r="G251" s="57" t="s">
        <v>2874</v>
      </c>
      <c r="H251" s="64" t="s">
        <v>2875</v>
      </c>
      <c r="I251" s="58">
        <v>46055.0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29" t="str">
        <f t="shared" si="17"/>
        <v>02 - FEV - 26 / 02/02 - SEG</v>
      </c>
      <c r="B252" s="55" t="s">
        <v>2876</v>
      </c>
      <c r="C252" s="55" t="s">
        <v>86</v>
      </c>
      <c r="D252" s="56" t="s">
        <v>378</v>
      </c>
      <c r="E252" s="56" t="s">
        <v>378</v>
      </c>
      <c r="F252" s="56"/>
      <c r="G252" s="57" t="s">
        <v>2877</v>
      </c>
      <c r="H252" s="64" t="s">
        <v>2878</v>
      </c>
      <c r="I252" s="58">
        <v>46055.0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9" t="str">
        <f t="shared" si="17"/>
        <v>02 - FEV - 26 / 02/02 - SEG</v>
      </c>
      <c r="B253" s="55" t="s">
        <v>2879</v>
      </c>
      <c r="C253" s="55" t="s">
        <v>86</v>
      </c>
      <c r="D253" s="56" t="s">
        <v>378</v>
      </c>
      <c r="E253" s="56" t="s">
        <v>378</v>
      </c>
      <c r="F253" s="56"/>
      <c r="G253" s="57" t="s">
        <v>2880</v>
      </c>
      <c r="H253" s="64" t="s">
        <v>2881</v>
      </c>
      <c r="I253" s="58">
        <v>46055.0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29" t="str">
        <f t="shared" si="17"/>
        <v>02 - FEV - 26 / 02/02 - SEG</v>
      </c>
      <c r="B254" s="55" t="s">
        <v>2882</v>
      </c>
      <c r="C254" s="55" t="s">
        <v>86</v>
      </c>
      <c r="D254" s="56" t="s">
        <v>378</v>
      </c>
      <c r="E254" s="56" t="s">
        <v>378</v>
      </c>
      <c r="F254" s="56"/>
      <c r="G254" s="57" t="s">
        <v>2883</v>
      </c>
      <c r="H254" s="64" t="s">
        <v>2884</v>
      </c>
      <c r="I254" s="58">
        <v>46055.0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9" t="str">
        <f t="shared" si="17"/>
        <v>02 - FEV - 26 / 02/02 - SEG</v>
      </c>
      <c r="B255" s="55" t="s">
        <v>2885</v>
      </c>
      <c r="C255" s="55" t="s">
        <v>86</v>
      </c>
      <c r="D255" s="56" t="s">
        <v>378</v>
      </c>
      <c r="E255" s="56" t="s">
        <v>378</v>
      </c>
      <c r="F255" s="56"/>
      <c r="G255" s="57" t="s">
        <v>2886</v>
      </c>
      <c r="H255" s="64" t="s">
        <v>2887</v>
      </c>
      <c r="I255" s="58">
        <v>46055.0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29" t="str">
        <f t="shared" si="17"/>
        <v>02 - FEV - 26 / 02/02 - SEG</v>
      </c>
      <c r="B256" s="55" t="s">
        <v>2888</v>
      </c>
      <c r="C256" s="55" t="s">
        <v>86</v>
      </c>
      <c r="D256" s="56" t="s">
        <v>378</v>
      </c>
      <c r="E256" s="56" t="s">
        <v>378</v>
      </c>
      <c r="F256" s="56"/>
      <c r="G256" s="57" t="s">
        <v>2889</v>
      </c>
      <c r="H256" s="64" t="s">
        <v>2890</v>
      </c>
      <c r="I256" s="58">
        <v>46055.0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55"/>
      <c r="B257" s="55"/>
      <c r="C257" s="55"/>
      <c r="D257" s="56"/>
      <c r="E257" s="56"/>
      <c r="F257" s="56"/>
      <c r="G257" s="57"/>
      <c r="H257" s="56"/>
      <c r="I257" s="5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56"/>
      <c r="E258" s="56"/>
      <c r="F258" s="56"/>
      <c r="G258" s="57"/>
      <c r="H258" s="56"/>
      <c r="I258" s="5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55"/>
      <c r="B259" s="55"/>
      <c r="C259" s="55"/>
      <c r="D259" s="56"/>
      <c r="E259" s="56"/>
      <c r="F259" s="56"/>
      <c r="G259" s="57"/>
      <c r="H259" s="56"/>
      <c r="I259" s="5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56"/>
      <c r="E260" s="56"/>
      <c r="F260" s="56"/>
      <c r="G260" s="57"/>
      <c r="H260" s="56"/>
      <c r="I260" s="5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55"/>
      <c r="B261" s="55"/>
      <c r="C261" s="55"/>
      <c r="D261" s="56"/>
      <c r="E261" s="56"/>
      <c r="F261" s="56"/>
      <c r="G261" s="57"/>
      <c r="H261" s="56"/>
      <c r="I261" s="5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56"/>
      <c r="E262" s="56"/>
      <c r="F262" s="56"/>
      <c r="G262" s="57"/>
      <c r="H262" s="56"/>
      <c r="I262" s="5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55"/>
      <c r="B263" s="55"/>
      <c r="C263" s="55"/>
      <c r="D263" s="56"/>
      <c r="E263" s="56"/>
      <c r="F263" s="56"/>
      <c r="G263" s="57"/>
      <c r="H263" s="56"/>
      <c r="I263" s="5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56"/>
      <c r="E264" s="56"/>
      <c r="F264" s="56"/>
      <c r="G264" s="57"/>
      <c r="H264" s="56"/>
      <c r="I264" s="5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55"/>
      <c r="B265" s="55"/>
      <c r="C265" s="55"/>
      <c r="D265" s="56"/>
      <c r="E265" s="56"/>
      <c r="F265" s="56"/>
      <c r="G265" s="57"/>
      <c r="H265" s="56"/>
      <c r="I265" s="5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56"/>
      <c r="E266" s="56"/>
      <c r="F266" s="56"/>
      <c r="G266" s="57"/>
      <c r="H266" s="56"/>
      <c r="I266" s="5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55"/>
      <c r="B267" s="55"/>
      <c r="C267" s="55"/>
      <c r="D267" s="56"/>
      <c r="E267" s="56"/>
      <c r="F267" s="56"/>
      <c r="G267" s="57"/>
      <c r="H267" s="56"/>
      <c r="I267" s="5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56"/>
      <c r="E268" s="56"/>
      <c r="F268" s="56"/>
      <c r="G268" s="57"/>
      <c r="H268" s="56"/>
      <c r="I268" s="5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55"/>
      <c r="B269" s="55"/>
      <c r="C269" s="55"/>
      <c r="D269" s="56"/>
      <c r="E269" s="56"/>
      <c r="F269" s="56"/>
      <c r="G269" s="57"/>
      <c r="H269" s="56"/>
      <c r="I269" s="5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56"/>
      <c r="E270" s="56"/>
      <c r="F270" s="56"/>
      <c r="G270" s="57"/>
      <c r="H270" s="56"/>
      <c r="I270" s="5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55"/>
      <c r="B271" s="55"/>
      <c r="C271" s="55"/>
      <c r="D271" s="56"/>
      <c r="E271" s="56"/>
      <c r="F271" s="56"/>
      <c r="G271" s="57"/>
      <c r="H271" s="56"/>
      <c r="I271" s="5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56"/>
      <c r="E272" s="56"/>
      <c r="F272" s="56"/>
      <c r="G272" s="57"/>
      <c r="H272" s="56"/>
      <c r="I272" s="5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55"/>
      <c r="B273" s="55"/>
      <c r="C273" s="55"/>
      <c r="D273" s="56"/>
      <c r="E273" s="56"/>
      <c r="F273" s="56"/>
      <c r="G273" s="57"/>
      <c r="H273" s="56"/>
      <c r="I273" s="5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56"/>
      <c r="E274" s="56"/>
      <c r="F274" s="56"/>
      <c r="G274" s="57"/>
      <c r="H274" s="56"/>
      <c r="I274" s="5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55"/>
      <c r="B275" s="55"/>
      <c r="C275" s="55"/>
      <c r="D275" s="56"/>
      <c r="E275" s="56"/>
      <c r="F275" s="56"/>
      <c r="G275" s="57"/>
      <c r="H275" s="56"/>
      <c r="I275" s="5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56"/>
      <c r="E276" s="56"/>
      <c r="F276" s="56"/>
      <c r="G276" s="57"/>
      <c r="H276" s="56"/>
      <c r="I276" s="5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55"/>
      <c r="B277" s="55"/>
      <c r="C277" s="55"/>
      <c r="D277" s="56"/>
      <c r="E277" s="56"/>
      <c r="F277" s="56"/>
      <c r="G277" s="57"/>
      <c r="H277" s="56"/>
      <c r="I277" s="5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56"/>
      <c r="E278" s="56"/>
      <c r="F278" s="56"/>
      <c r="G278" s="57"/>
      <c r="H278" s="56"/>
      <c r="I278" s="5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55"/>
      <c r="B279" s="55"/>
      <c r="C279" s="55"/>
      <c r="D279" s="56"/>
      <c r="E279" s="56"/>
      <c r="F279" s="56"/>
      <c r="G279" s="57"/>
      <c r="H279" s="56"/>
      <c r="I279" s="5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56"/>
      <c r="E280" s="56"/>
      <c r="F280" s="56"/>
      <c r="G280" s="57"/>
      <c r="H280" s="56"/>
      <c r="I280" s="5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55"/>
      <c r="B281" s="55"/>
      <c r="C281" s="55"/>
      <c r="D281" s="56"/>
      <c r="E281" s="56"/>
      <c r="F281" s="56"/>
      <c r="G281" s="57"/>
      <c r="H281" s="56"/>
      <c r="I281" s="5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56"/>
      <c r="E282" s="56"/>
      <c r="F282" s="56"/>
      <c r="G282" s="57"/>
      <c r="H282" s="56"/>
      <c r="I282" s="5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55"/>
      <c r="B283" s="55"/>
      <c r="C283" s="55"/>
      <c r="D283" s="56"/>
      <c r="E283" s="56"/>
      <c r="F283" s="56"/>
      <c r="G283" s="57"/>
      <c r="H283" s="56"/>
      <c r="I283" s="5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56"/>
      <c r="E284" s="56"/>
      <c r="F284" s="56"/>
      <c r="G284" s="57"/>
      <c r="H284" s="56"/>
      <c r="I284" s="5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55"/>
      <c r="B285" s="55"/>
      <c r="C285" s="55"/>
      <c r="D285" s="56"/>
      <c r="E285" s="56"/>
      <c r="F285" s="56"/>
      <c r="G285" s="57"/>
      <c r="H285" s="56"/>
      <c r="I285" s="5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56"/>
      <c r="E286" s="56"/>
      <c r="F286" s="56"/>
      <c r="G286" s="57"/>
      <c r="H286" s="56"/>
      <c r="I286" s="5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55"/>
      <c r="B287" s="55"/>
      <c r="C287" s="55"/>
      <c r="D287" s="56"/>
      <c r="E287" s="56"/>
      <c r="F287" s="56"/>
      <c r="G287" s="57"/>
      <c r="H287" s="56"/>
      <c r="I287" s="5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56"/>
      <c r="E288" s="56"/>
      <c r="F288" s="56"/>
      <c r="G288" s="57"/>
      <c r="H288" s="56"/>
      <c r="I288" s="5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55"/>
      <c r="B289" s="55"/>
      <c r="C289" s="55"/>
      <c r="D289" s="56"/>
      <c r="E289" s="56"/>
      <c r="F289" s="56"/>
      <c r="G289" s="57"/>
      <c r="H289" s="56"/>
      <c r="I289" s="5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56"/>
      <c r="E290" s="56"/>
      <c r="F290" s="56"/>
      <c r="G290" s="57"/>
      <c r="H290" s="56"/>
      <c r="I290" s="5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55"/>
      <c r="B291" s="55"/>
      <c r="C291" s="55"/>
      <c r="D291" s="56"/>
      <c r="E291" s="56"/>
      <c r="F291" s="56"/>
      <c r="G291" s="57"/>
      <c r="H291" s="56"/>
      <c r="I291" s="5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56"/>
      <c r="E292" s="56"/>
      <c r="F292" s="56"/>
      <c r="G292" s="57"/>
      <c r="H292" s="56"/>
      <c r="I292" s="5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55"/>
      <c r="B293" s="55"/>
      <c r="C293" s="55"/>
      <c r="D293" s="56"/>
      <c r="E293" s="56"/>
      <c r="F293" s="56"/>
      <c r="G293" s="57"/>
      <c r="H293" s="56"/>
      <c r="I293" s="5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56"/>
      <c r="E294" s="56"/>
      <c r="F294" s="56"/>
      <c r="G294" s="57"/>
      <c r="H294" s="56"/>
      <c r="I294" s="5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55"/>
      <c r="B295" s="55"/>
      <c r="C295" s="55"/>
      <c r="D295" s="56"/>
      <c r="E295" s="56"/>
      <c r="F295" s="56"/>
      <c r="G295" s="57"/>
      <c r="H295" s="56"/>
      <c r="I295" s="5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56"/>
      <c r="E296" s="56"/>
      <c r="F296" s="56"/>
      <c r="G296" s="57"/>
      <c r="H296" s="56"/>
      <c r="I296" s="5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55"/>
      <c r="B297" s="55"/>
      <c r="C297" s="55"/>
      <c r="D297" s="56"/>
      <c r="E297" s="56"/>
      <c r="F297" s="56"/>
      <c r="G297" s="57"/>
      <c r="H297" s="56"/>
      <c r="I297" s="5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56"/>
      <c r="E298" s="56"/>
      <c r="F298" s="56"/>
      <c r="G298" s="57"/>
      <c r="H298" s="56"/>
      <c r="I298" s="5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55"/>
      <c r="B299" s="55"/>
      <c r="C299" s="55"/>
      <c r="D299" s="56"/>
      <c r="E299" s="56"/>
      <c r="F299" s="56"/>
      <c r="G299" s="57"/>
      <c r="H299" s="56"/>
      <c r="I299" s="5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56"/>
      <c r="E300" s="56"/>
      <c r="F300" s="56"/>
      <c r="G300" s="57"/>
      <c r="H300" s="56"/>
      <c r="I300" s="5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55"/>
      <c r="B301" s="55"/>
      <c r="C301" s="55"/>
      <c r="D301" s="56"/>
      <c r="E301" s="56"/>
      <c r="F301" s="56"/>
      <c r="G301" s="57"/>
      <c r="H301" s="56"/>
      <c r="I301" s="5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56"/>
      <c r="E302" s="56"/>
      <c r="F302" s="56"/>
      <c r="G302" s="57"/>
      <c r="H302" s="56"/>
      <c r="I302" s="5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55"/>
      <c r="B303" s="55"/>
      <c r="C303" s="55"/>
      <c r="D303" s="56"/>
      <c r="E303" s="56"/>
      <c r="F303" s="56"/>
      <c r="G303" s="57"/>
      <c r="H303" s="56"/>
      <c r="I303" s="5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56"/>
      <c r="E304" s="56"/>
      <c r="F304" s="56"/>
      <c r="G304" s="57"/>
      <c r="H304" s="56"/>
      <c r="I304" s="5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55"/>
      <c r="B305" s="55"/>
      <c r="C305" s="55"/>
      <c r="D305" s="56"/>
      <c r="E305" s="56"/>
      <c r="F305" s="56"/>
      <c r="G305" s="57"/>
      <c r="H305" s="56"/>
      <c r="I305" s="5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56"/>
      <c r="E306" s="56"/>
      <c r="F306" s="56"/>
      <c r="G306" s="57"/>
      <c r="H306" s="56"/>
      <c r="I306" s="5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55"/>
      <c r="B307" s="55"/>
      <c r="C307" s="55"/>
      <c r="D307" s="56"/>
      <c r="E307" s="56"/>
      <c r="F307" s="56"/>
      <c r="G307" s="57"/>
      <c r="H307" s="56"/>
      <c r="I307" s="5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56"/>
      <c r="E308" s="56"/>
      <c r="F308" s="56"/>
      <c r="G308" s="57"/>
      <c r="H308" s="56"/>
      <c r="I308" s="5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55"/>
      <c r="B309" s="55"/>
      <c r="C309" s="55"/>
      <c r="D309" s="56"/>
      <c r="E309" s="56"/>
      <c r="F309" s="56"/>
      <c r="G309" s="57"/>
      <c r="H309" s="56"/>
      <c r="I309" s="5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56"/>
      <c r="E310" s="56"/>
      <c r="F310" s="56"/>
      <c r="G310" s="57"/>
      <c r="H310" s="56"/>
      <c r="I310" s="5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55"/>
      <c r="B311" s="55"/>
      <c r="C311" s="55"/>
      <c r="D311" s="56"/>
      <c r="E311" s="56"/>
      <c r="F311" s="56"/>
      <c r="G311" s="57"/>
      <c r="H311" s="56"/>
      <c r="I311" s="5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56"/>
      <c r="E312" s="56"/>
      <c r="F312" s="56"/>
      <c r="G312" s="57"/>
      <c r="H312" s="56"/>
      <c r="I312" s="5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55"/>
      <c r="B313" s="55"/>
      <c r="C313" s="55"/>
      <c r="D313" s="56"/>
      <c r="E313" s="56"/>
      <c r="F313" s="56"/>
      <c r="G313" s="57"/>
      <c r="H313" s="56"/>
      <c r="I313" s="5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56"/>
      <c r="E314" s="56"/>
      <c r="F314" s="56"/>
      <c r="G314" s="57"/>
      <c r="H314" s="56"/>
      <c r="I314" s="5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55"/>
      <c r="B315" s="55"/>
      <c r="C315" s="55"/>
      <c r="D315" s="56"/>
      <c r="E315" s="56"/>
      <c r="F315" s="56"/>
      <c r="G315" s="57"/>
      <c r="H315" s="56"/>
      <c r="I315" s="5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56"/>
      <c r="E316" s="56"/>
      <c r="F316" s="56"/>
      <c r="G316" s="57"/>
      <c r="H316" s="56"/>
      <c r="I316" s="5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55"/>
      <c r="B317" s="55"/>
      <c r="C317" s="55"/>
      <c r="D317" s="56"/>
      <c r="E317" s="56"/>
      <c r="F317" s="56"/>
      <c r="G317" s="57"/>
      <c r="H317" s="56"/>
      <c r="I317" s="5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56"/>
      <c r="E318" s="56"/>
      <c r="F318" s="56"/>
      <c r="G318" s="57"/>
      <c r="H318" s="56"/>
      <c r="I318" s="5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55"/>
      <c r="B319" s="55"/>
      <c r="C319" s="55"/>
      <c r="D319" s="56"/>
      <c r="E319" s="56"/>
      <c r="F319" s="56"/>
      <c r="G319" s="57"/>
      <c r="H319" s="56"/>
      <c r="I319" s="5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56"/>
      <c r="E320" s="56"/>
      <c r="F320" s="56"/>
      <c r="G320" s="57"/>
      <c r="H320" s="56"/>
      <c r="I320" s="5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55"/>
      <c r="B321" s="55"/>
      <c r="C321" s="55"/>
      <c r="D321" s="56"/>
      <c r="E321" s="56"/>
      <c r="F321" s="56"/>
      <c r="G321" s="57"/>
      <c r="H321" s="56"/>
      <c r="I321" s="5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56"/>
      <c r="E322" s="56"/>
      <c r="F322" s="56"/>
      <c r="G322" s="57"/>
      <c r="H322" s="56"/>
      <c r="I322" s="5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55"/>
      <c r="B323" s="55"/>
      <c r="C323" s="55"/>
      <c r="D323" s="56"/>
      <c r="E323" s="56"/>
      <c r="F323" s="56"/>
      <c r="G323" s="57"/>
      <c r="H323" s="56"/>
      <c r="I323" s="5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56"/>
      <c r="E324" s="56"/>
      <c r="F324" s="56"/>
      <c r="G324" s="57"/>
      <c r="H324" s="56"/>
      <c r="I324" s="5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55"/>
      <c r="B325" s="55"/>
      <c r="C325" s="55"/>
      <c r="D325" s="56"/>
      <c r="E325" s="56"/>
      <c r="F325" s="56"/>
      <c r="G325" s="57"/>
      <c r="H325" s="56"/>
      <c r="I325" s="5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56"/>
      <c r="E326" s="56"/>
      <c r="F326" s="56"/>
      <c r="G326" s="57"/>
      <c r="H326" s="56"/>
      <c r="I326" s="5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55"/>
      <c r="B327" s="55"/>
      <c r="C327" s="55"/>
      <c r="D327" s="56"/>
      <c r="E327" s="56"/>
      <c r="F327" s="56"/>
      <c r="G327" s="57"/>
      <c r="H327" s="56"/>
      <c r="I327" s="5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56"/>
      <c r="E328" s="56"/>
      <c r="F328" s="56"/>
      <c r="G328" s="57"/>
      <c r="H328" s="56"/>
      <c r="I328" s="5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55"/>
      <c r="B329" s="55"/>
      <c r="C329" s="55"/>
      <c r="D329" s="56"/>
      <c r="E329" s="56"/>
      <c r="F329" s="56"/>
      <c r="G329" s="57"/>
      <c r="H329" s="56"/>
      <c r="I329" s="5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56"/>
      <c r="E330" s="56"/>
      <c r="F330" s="56"/>
      <c r="G330" s="57"/>
      <c r="H330" s="56"/>
      <c r="I330" s="5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55"/>
      <c r="B331" s="55"/>
      <c r="C331" s="55"/>
      <c r="D331" s="56"/>
      <c r="E331" s="56"/>
      <c r="F331" s="56"/>
      <c r="G331" s="57"/>
      <c r="H331" s="56"/>
      <c r="I331" s="5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56"/>
      <c r="E332" s="56"/>
      <c r="F332" s="56"/>
      <c r="G332" s="57"/>
      <c r="H332" s="56"/>
      <c r="I332" s="5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55"/>
      <c r="B333" s="55"/>
      <c r="C333" s="55"/>
      <c r="D333" s="56"/>
      <c r="E333" s="56"/>
      <c r="F333" s="56"/>
      <c r="G333" s="57"/>
      <c r="H333" s="56"/>
      <c r="I333" s="5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56"/>
      <c r="E334" s="56"/>
      <c r="F334" s="56"/>
      <c r="G334" s="57"/>
      <c r="H334" s="56"/>
      <c r="I334" s="5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55"/>
      <c r="B335" s="55"/>
      <c r="C335" s="55"/>
      <c r="D335" s="56"/>
      <c r="E335" s="56"/>
      <c r="F335" s="56"/>
      <c r="G335" s="57"/>
      <c r="H335" s="56"/>
      <c r="I335" s="5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56"/>
      <c r="E336" s="56"/>
      <c r="F336" s="56"/>
      <c r="G336" s="57"/>
      <c r="H336" s="56"/>
      <c r="I336" s="5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55"/>
      <c r="B337" s="55"/>
      <c r="C337" s="55"/>
      <c r="D337" s="56"/>
      <c r="E337" s="56"/>
      <c r="F337" s="56"/>
      <c r="G337" s="57"/>
      <c r="H337" s="56"/>
      <c r="I337" s="5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56"/>
      <c r="E338" s="56"/>
      <c r="F338" s="56"/>
      <c r="G338" s="57"/>
      <c r="H338" s="56"/>
      <c r="I338" s="5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65" t="s">
        <v>2891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mergeCells count="2">
    <mergeCell ref="A1:G1"/>
    <mergeCell ref="A339:I339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87"/>
    <hyperlink r:id="rId2" ref="H88"/>
    <hyperlink r:id="rId3" ref="H89"/>
    <hyperlink r:id="rId4" ref="H90"/>
    <hyperlink r:id="rId5" ref="H91"/>
    <hyperlink r:id="rId6" ref="H92"/>
    <hyperlink r:id="rId7" ref="H93"/>
    <hyperlink r:id="rId8" ref="H94"/>
    <hyperlink r:id="rId9" ref="H95"/>
    <hyperlink r:id="rId10" ref="H96"/>
    <hyperlink r:id="rId11" ref="H97"/>
    <hyperlink r:id="rId12" ref="H98"/>
    <hyperlink r:id="rId13" ref="H99"/>
    <hyperlink r:id="rId14" ref="H100"/>
    <hyperlink r:id="rId15" ref="H101"/>
    <hyperlink r:id="rId16" ref="H102"/>
    <hyperlink r:id="rId17" ref="H103"/>
    <hyperlink r:id="rId18" ref="H104"/>
    <hyperlink r:id="rId19" ref="H105"/>
    <hyperlink r:id="rId20" ref="H106"/>
    <hyperlink r:id="rId21" ref="H107"/>
    <hyperlink r:id="rId22" ref="H108"/>
    <hyperlink r:id="rId23" ref="H109"/>
    <hyperlink r:id="rId24" ref="H110"/>
    <hyperlink r:id="rId25" ref="H111"/>
    <hyperlink r:id="rId26" ref="H112"/>
    <hyperlink r:id="rId27" ref="H113"/>
    <hyperlink r:id="rId28" ref="H114"/>
    <hyperlink r:id="rId29" ref="H115"/>
    <hyperlink r:id="rId30" ref="H116"/>
    <hyperlink r:id="rId31" ref="H117"/>
    <hyperlink r:id="rId32" ref="H118"/>
    <hyperlink r:id="rId33" ref="H119"/>
    <hyperlink r:id="rId34" ref="H120"/>
    <hyperlink r:id="rId35" ref="H121"/>
    <hyperlink r:id="rId36" ref="H122"/>
    <hyperlink r:id="rId37" ref="H123"/>
    <hyperlink r:id="rId38" ref="H124"/>
    <hyperlink r:id="rId39" ref="H125"/>
    <hyperlink r:id="rId40" ref="H126"/>
    <hyperlink r:id="rId41" ref="H127"/>
    <hyperlink r:id="rId42" ref="H128"/>
    <hyperlink r:id="rId43" ref="H129"/>
    <hyperlink r:id="rId44" ref="H130"/>
    <hyperlink r:id="rId45" ref="H131"/>
    <hyperlink r:id="rId46" ref="H132"/>
    <hyperlink r:id="rId47" ref="H133"/>
    <hyperlink r:id="rId48" ref="H134"/>
    <hyperlink r:id="rId49" ref="H135"/>
    <hyperlink r:id="rId50" ref="H136"/>
    <hyperlink r:id="rId51" ref="H137"/>
    <hyperlink r:id="rId52" ref="H138"/>
    <hyperlink r:id="rId53" ref="H139"/>
    <hyperlink r:id="rId54" ref="H140"/>
    <hyperlink r:id="rId55" ref="H141"/>
    <hyperlink r:id="rId56" ref="H142"/>
    <hyperlink r:id="rId57" ref="H143"/>
    <hyperlink r:id="rId58" ref="H144"/>
    <hyperlink r:id="rId59" ref="H145"/>
    <hyperlink r:id="rId60" ref="H146"/>
    <hyperlink r:id="rId61" ref="H147"/>
    <hyperlink r:id="rId62" ref="H148"/>
    <hyperlink r:id="rId63" ref="H149"/>
    <hyperlink r:id="rId64" ref="H150"/>
    <hyperlink r:id="rId65" ref="H151"/>
    <hyperlink r:id="rId66" ref="H152"/>
    <hyperlink r:id="rId67" ref="H153"/>
    <hyperlink r:id="rId68" ref="H154"/>
    <hyperlink r:id="rId69" ref="H155"/>
    <hyperlink r:id="rId70" ref="H156"/>
    <hyperlink r:id="rId71" ref="H157"/>
    <hyperlink r:id="rId72" ref="H158"/>
    <hyperlink r:id="rId73" ref="H159"/>
    <hyperlink r:id="rId74" ref="H160"/>
    <hyperlink r:id="rId75" ref="H161"/>
    <hyperlink r:id="rId76" ref="H162"/>
    <hyperlink r:id="rId77" ref="H163"/>
    <hyperlink r:id="rId78" ref="H164"/>
    <hyperlink r:id="rId79" ref="H165"/>
    <hyperlink r:id="rId80" ref="H166"/>
    <hyperlink r:id="rId81" ref="H167"/>
    <hyperlink r:id="rId82" ref="H168"/>
    <hyperlink r:id="rId83" ref="H169"/>
    <hyperlink r:id="rId84" ref="H170"/>
    <hyperlink r:id="rId85" ref="H171"/>
    <hyperlink r:id="rId86" ref="H172"/>
    <hyperlink r:id="rId87" ref="H173"/>
    <hyperlink r:id="rId88" ref="H174"/>
    <hyperlink r:id="rId89" ref="H175"/>
    <hyperlink r:id="rId90" ref="H176"/>
    <hyperlink r:id="rId91" ref="H177"/>
    <hyperlink r:id="rId92" ref="H178"/>
    <hyperlink r:id="rId93" ref="H179"/>
    <hyperlink r:id="rId94" ref="H180"/>
    <hyperlink r:id="rId95" ref="H181"/>
    <hyperlink r:id="rId96" ref="H182"/>
    <hyperlink r:id="rId97" ref="H183"/>
    <hyperlink r:id="rId98" ref="H184"/>
    <hyperlink r:id="rId99" ref="H185"/>
    <hyperlink r:id="rId100" ref="H186"/>
    <hyperlink r:id="rId101" ref="H187"/>
    <hyperlink r:id="rId102" ref="H188"/>
    <hyperlink r:id="rId103" ref="H189"/>
    <hyperlink r:id="rId104" ref="H190"/>
    <hyperlink r:id="rId105" ref="H191"/>
    <hyperlink r:id="rId106" ref="H192"/>
    <hyperlink r:id="rId107" ref="H193"/>
    <hyperlink r:id="rId108" ref="H194"/>
    <hyperlink r:id="rId109" ref="H195"/>
    <hyperlink r:id="rId110" ref="H196"/>
    <hyperlink r:id="rId111" ref="H197"/>
    <hyperlink r:id="rId112" ref="H198"/>
    <hyperlink r:id="rId113" ref="H199"/>
    <hyperlink r:id="rId114" ref="H200"/>
    <hyperlink r:id="rId115" ref="H201"/>
    <hyperlink r:id="rId116" ref="H202"/>
    <hyperlink r:id="rId117" ref="H203"/>
    <hyperlink r:id="rId118" ref="H204"/>
    <hyperlink r:id="rId119" ref="H205"/>
    <hyperlink r:id="rId120" ref="H206"/>
    <hyperlink r:id="rId121" ref="H207"/>
    <hyperlink r:id="rId122" ref="H208"/>
    <hyperlink r:id="rId123" ref="H209"/>
    <hyperlink r:id="rId124" ref="H210"/>
    <hyperlink r:id="rId125" ref="H211"/>
    <hyperlink r:id="rId126" ref="H212"/>
    <hyperlink r:id="rId127" ref="H213"/>
    <hyperlink r:id="rId128" ref="H214"/>
    <hyperlink r:id="rId129" ref="H215"/>
    <hyperlink r:id="rId130" ref="H216"/>
    <hyperlink r:id="rId131" ref="H217"/>
    <hyperlink r:id="rId132" ref="H218"/>
    <hyperlink r:id="rId133" ref="H219"/>
    <hyperlink r:id="rId134" ref="H220"/>
    <hyperlink r:id="rId135" ref="H221"/>
    <hyperlink r:id="rId136" ref="H222"/>
    <hyperlink r:id="rId137" ref="H223"/>
    <hyperlink r:id="rId138" ref="H224"/>
    <hyperlink r:id="rId139" ref="H225"/>
    <hyperlink r:id="rId140" ref="H226"/>
    <hyperlink r:id="rId141" ref="H227"/>
    <hyperlink r:id="rId142" ref="H228"/>
    <hyperlink r:id="rId143" ref="H229"/>
    <hyperlink r:id="rId144" ref="H230"/>
    <hyperlink r:id="rId145" ref="H231"/>
    <hyperlink r:id="rId146" ref="H232"/>
    <hyperlink r:id="rId147" ref="H233"/>
    <hyperlink r:id="rId148" ref="H234"/>
    <hyperlink r:id="rId149" ref="H235"/>
    <hyperlink r:id="rId150" ref="H236"/>
    <hyperlink r:id="rId151" ref="H237"/>
    <hyperlink r:id="rId152" ref="H238"/>
    <hyperlink r:id="rId153" ref="H239"/>
    <hyperlink r:id="rId154" ref="H240"/>
    <hyperlink r:id="rId155" ref="H241"/>
    <hyperlink r:id="rId156" ref="H242"/>
    <hyperlink r:id="rId157" ref="H243"/>
    <hyperlink r:id="rId158" ref="H244"/>
    <hyperlink r:id="rId159" ref="H245"/>
    <hyperlink r:id="rId160" ref="H246"/>
    <hyperlink r:id="rId161" ref="H247"/>
    <hyperlink r:id="rId162" ref="H248"/>
    <hyperlink r:id="rId163" ref="H249"/>
    <hyperlink r:id="rId164" ref="H250"/>
    <hyperlink r:id="rId165" ref="H251"/>
    <hyperlink r:id="rId166" ref="H252"/>
    <hyperlink r:id="rId167" ref="H253"/>
    <hyperlink r:id="rId168" ref="H254"/>
    <hyperlink r:id="rId169" ref="H255"/>
    <hyperlink r:id="rId170" ref="H256"/>
  </hyperlinks>
  <printOptions/>
  <pageMargins bottom="1.0" footer="0.0" header="0.0" left="0.75" right="0.75" top="1.0"/>
  <pageSetup orientation="landscape"/>
  <drawing r:id="rId17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1.5"/>
    <col customWidth="1" min="2" max="2" width="46.88"/>
    <col customWidth="1" min="3" max="3" width="9.38"/>
    <col customWidth="1" min="4" max="4" width="15.88"/>
    <col customWidth="1" min="5" max="5" width="13.63"/>
    <col customWidth="1" min="6" max="6" width="10.0"/>
    <col customWidth="1" min="7" max="7" width="14.63"/>
    <col customWidth="1" min="8" max="8" width="50.13"/>
    <col customWidth="1" min="9" max="9" width="80.75"/>
    <col customWidth="1" min="10" max="10" width="13.63"/>
  </cols>
  <sheetData>
    <row r="1" ht="15.75" customHeight="1">
      <c r="A1" s="16" t="str">
        <f>"JANEIRO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JANEIRO DE 2026   •   RED [ ██████████ 100% ]   •   EDIT [ ██████████ 100% ]</v>
      </c>
      <c r="H1" s="17" t="s">
        <v>13</v>
      </c>
      <c r="I1" s="18" t="s">
        <v>14</v>
      </c>
      <c r="J1" s="14"/>
    </row>
    <row r="2" ht="15.75" customHeight="1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4"/>
      <c r="I2" s="14"/>
      <c r="J2" s="14"/>
    </row>
    <row r="3" ht="15.75" customHeight="1">
      <c r="A3" s="20">
        <v>10.0</v>
      </c>
      <c r="B3" s="21">
        <v>180.0</v>
      </c>
      <c r="C3" s="22">
        <f>COUNTA(B6:B1000)</f>
        <v>180</v>
      </c>
      <c r="D3" s="23">
        <f>COUNTIF(E6:E1000, "*✔*")</f>
        <v>180</v>
      </c>
      <c r="E3" s="24">
        <f>C3-D3</f>
        <v>0</v>
      </c>
      <c r="F3" s="25">
        <f>MAX(0, B3-C3)</f>
        <v>0</v>
      </c>
      <c r="G3" s="26">
        <f>0 + C3</f>
        <v>180</v>
      </c>
      <c r="H3" s="27"/>
      <c r="I3" s="14"/>
      <c r="J3" s="14"/>
    </row>
    <row r="4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ht="15.75" customHeight="1">
      <c r="A5" s="54" t="s">
        <v>22</v>
      </c>
      <c r="B5" s="54" t="s">
        <v>23</v>
      </c>
      <c r="C5" s="54" t="s">
        <v>24</v>
      </c>
      <c r="D5" s="54" t="s">
        <v>25</v>
      </c>
      <c r="E5" s="54" t="s">
        <v>26</v>
      </c>
      <c r="F5" s="54" t="s">
        <v>27</v>
      </c>
      <c r="G5" s="54" t="s">
        <v>28</v>
      </c>
      <c r="H5" s="66" t="s">
        <v>29</v>
      </c>
      <c r="I5" s="66" t="s">
        <v>30</v>
      </c>
      <c r="J5" s="67" t="s">
        <v>30</v>
      </c>
    </row>
    <row r="6" ht="15.75" customHeight="1">
      <c r="A6" s="55" t="s">
        <v>2892</v>
      </c>
      <c r="B6" s="55"/>
      <c r="C6" s="55"/>
      <c r="D6" s="56"/>
      <c r="E6" s="56"/>
      <c r="F6" s="56"/>
      <c r="G6" s="57"/>
      <c r="H6" s="56"/>
      <c r="I6" s="58"/>
      <c r="J6" s="68"/>
    </row>
    <row r="7" ht="15.75" customHeight="1">
      <c r="A7" s="55" t="s">
        <v>2893</v>
      </c>
      <c r="B7" s="55"/>
      <c r="C7" s="55"/>
      <c r="D7" s="56"/>
      <c r="E7" s="56"/>
      <c r="F7" s="56"/>
      <c r="G7" s="57"/>
      <c r="H7" s="56"/>
      <c r="I7" s="58"/>
      <c r="J7" s="68"/>
    </row>
    <row r="8" ht="15.75" customHeight="1">
      <c r="A8" s="55" t="s">
        <v>2894</v>
      </c>
      <c r="B8" s="55"/>
      <c r="C8" s="55"/>
      <c r="D8" s="56"/>
      <c r="E8" s="56"/>
      <c r="F8" s="56"/>
      <c r="G8" s="57"/>
      <c r="H8" s="56"/>
      <c r="I8" s="58"/>
      <c r="J8" s="68"/>
    </row>
    <row r="9" ht="15.75" customHeight="1">
      <c r="A9" s="55" t="s">
        <v>2895</v>
      </c>
      <c r="B9" s="55"/>
      <c r="C9" s="55"/>
      <c r="D9" s="56"/>
      <c r="E9" s="56"/>
      <c r="F9" s="56"/>
      <c r="G9" s="57"/>
      <c r="H9" s="56"/>
      <c r="I9" s="58"/>
      <c r="J9" s="68"/>
    </row>
    <row r="10" ht="15.75" customHeight="1">
      <c r="A10" s="55" t="s">
        <v>2315</v>
      </c>
      <c r="B10" s="55"/>
      <c r="C10" s="55"/>
      <c r="D10" s="56"/>
      <c r="E10" s="56"/>
      <c r="F10" s="56"/>
      <c r="G10" s="57"/>
      <c r="H10" s="56"/>
      <c r="I10" s="58"/>
      <c r="J10" s="68"/>
    </row>
    <row r="11" ht="15.75" customHeight="1">
      <c r="A11" s="55" t="s">
        <v>2896</v>
      </c>
      <c r="B11" s="55"/>
      <c r="C11" s="55"/>
      <c r="D11" s="56"/>
      <c r="E11" s="56"/>
      <c r="F11" s="56"/>
      <c r="G11" s="57"/>
      <c r="H11" s="56"/>
      <c r="I11" s="58"/>
      <c r="J11" s="68"/>
    </row>
    <row r="12" ht="15.75" customHeight="1">
      <c r="A12" s="55" t="s">
        <v>2897</v>
      </c>
      <c r="B12" s="55"/>
      <c r="C12" s="55"/>
      <c r="D12" s="56"/>
      <c r="E12" s="56"/>
      <c r="F12" s="56"/>
      <c r="G12" s="57"/>
      <c r="H12" s="56"/>
      <c r="I12" s="58"/>
      <c r="J12" s="68"/>
    </row>
    <row r="13" ht="15.75" customHeight="1">
      <c r="A13" s="59" t="s">
        <v>2898</v>
      </c>
      <c r="B13" s="59"/>
      <c r="C13" s="59"/>
      <c r="D13" s="60"/>
      <c r="E13" s="60"/>
      <c r="F13" s="60"/>
      <c r="G13" s="61"/>
      <c r="H13" s="60"/>
      <c r="I13" s="62"/>
      <c r="J13" s="68"/>
    </row>
    <row r="14" ht="15.75" customHeight="1">
      <c r="A14" s="55" t="s">
        <v>2318</v>
      </c>
      <c r="B14" s="55"/>
      <c r="C14" s="55"/>
      <c r="D14" s="56"/>
      <c r="E14" s="56"/>
      <c r="F14" s="56"/>
      <c r="G14" s="57"/>
      <c r="H14" s="56"/>
      <c r="I14" s="58"/>
      <c r="J14" s="68"/>
    </row>
    <row r="15" ht="15.75" customHeight="1">
      <c r="A15" s="55" t="s">
        <v>2899</v>
      </c>
      <c r="B15" s="55"/>
      <c r="C15" s="55"/>
      <c r="D15" s="56"/>
      <c r="E15" s="56"/>
      <c r="F15" s="56"/>
      <c r="G15" s="57"/>
      <c r="H15" s="56"/>
      <c r="I15" s="58"/>
      <c r="J15" s="68"/>
    </row>
    <row r="16" ht="15.75" customHeight="1">
      <c r="A16" s="55" t="s">
        <v>2900</v>
      </c>
      <c r="B16" s="55"/>
      <c r="C16" s="55"/>
      <c r="D16" s="56"/>
      <c r="E16" s="56"/>
      <c r="F16" s="56"/>
      <c r="G16" s="57"/>
      <c r="H16" s="56"/>
      <c r="I16" s="58"/>
      <c r="J16" s="68"/>
    </row>
    <row r="17" ht="15.75" customHeight="1">
      <c r="A17" s="55" t="s">
        <v>2320</v>
      </c>
      <c r="B17" s="55"/>
      <c r="C17" s="55"/>
      <c r="D17" s="56"/>
      <c r="E17" s="56"/>
      <c r="F17" s="56"/>
      <c r="G17" s="57"/>
      <c r="H17" s="56"/>
      <c r="I17" s="58"/>
      <c r="J17" s="68"/>
    </row>
    <row r="18" ht="15.75" customHeight="1">
      <c r="A18" s="55" t="s">
        <v>2901</v>
      </c>
      <c r="B18" s="55"/>
      <c r="C18" s="55"/>
      <c r="D18" s="56"/>
      <c r="E18" s="56"/>
      <c r="F18" s="56"/>
      <c r="G18" s="57"/>
      <c r="H18" s="56"/>
      <c r="I18" s="58"/>
      <c r="J18" s="68"/>
    </row>
    <row r="19" ht="15.75" customHeight="1">
      <c r="A19" s="55" t="s">
        <v>2902</v>
      </c>
      <c r="B19" s="55"/>
      <c r="C19" s="55"/>
      <c r="D19" s="56"/>
      <c r="E19" s="56"/>
      <c r="F19" s="56"/>
      <c r="G19" s="57"/>
      <c r="H19" s="56"/>
      <c r="I19" s="58"/>
      <c r="J19" s="68"/>
    </row>
    <row r="20" ht="15.75" customHeight="1">
      <c r="A20" s="55" t="s">
        <v>2903</v>
      </c>
      <c r="B20" s="55"/>
      <c r="C20" s="55"/>
      <c r="D20" s="56"/>
      <c r="E20" s="56"/>
      <c r="F20" s="56"/>
      <c r="G20" s="57"/>
      <c r="H20" s="56"/>
      <c r="I20" s="58"/>
      <c r="J20" s="68"/>
    </row>
    <row r="21" ht="15.75" customHeight="1">
      <c r="A21" s="55" t="s">
        <v>2322</v>
      </c>
      <c r="B21" s="55"/>
      <c r="C21" s="55"/>
      <c r="D21" s="56"/>
      <c r="E21" s="56"/>
      <c r="F21" s="56"/>
      <c r="G21" s="57"/>
      <c r="H21" s="56"/>
      <c r="I21" s="58"/>
      <c r="J21" s="68"/>
    </row>
    <row r="22" ht="15.75" customHeight="1">
      <c r="A22" s="55" t="s">
        <v>2904</v>
      </c>
      <c r="B22" s="55"/>
      <c r="C22" s="55"/>
      <c r="D22" s="56"/>
      <c r="E22" s="56"/>
      <c r="F22" s="56"/>
      <c r="G22" s="57"/>
      <c r="H22" s="56"/>
      <c r="I22" s="58"/>
      <c r="J22" s="68"/>
    </row>
    <row r="23" ht="15.75" customHeight="1">
      <c r="A23" s="55" t="s">
        <v>2905</v>
      </c>
      <c r="B23" s="55"/>
      <c r="C23" s="55"/>
      <c r="D23" s="56"/>
      <c r="E23" s="56"/>
      <c r="F23" s="56"/>
      <c r="G23" s="57"/>
      <c r="H23" s="56"/>
      <c r="I23" s="58"/>
      <c r="J23" s="68"/>
    </row>
    <row r="24" ht="15.75" customHeight="1">
      <c r="A24" s="59" t="s">
        <v>2906</v>
      </c>
      <c r="B24" s="59"/>
      <c r="C24" s="59"/>
      <c r="D24" s="60"/>
      <c r="E24" s="60"/>
      <c r="F24" s="60"/>
      <c r="G24" s="61"/>
      <c r="H24" s="60"/>
      <c r="I24" s="62"/>
      <c r="J24" s="68"/>
    </row>
    <row r="25" ht="15.75" customHeight="1">
      <c r="A25" s="55" t="s">
        <v>2907</v>
      </c>
      <c r="B25" s="55"/>
      <c r="C25" s="55"/>
      <c r="D25" s="56"/>
      <c r="E25" s="56"/>
      <c r="F25" s="56"/>
      <c r="G25" s="57"/>
      <c r="H25" s="56"/>
      <c r="I25" s="58"/>
      <c r="J25" s="68"/>
    </row>
    <row r="26" ht="15.75" customHeight="1">
      <c r="A26" s="55" t="s">
        <v>2908</v>
      </c>
      <c r="B26" s="55"/>
      <c r="C26" s="55"/>
      <c r="D26" s="56"/>
      <c r="E26" s="56"/>
      <c r="F26" s="56"/>
      <c r="G26" s="57"/>
      <c r="H26" s="56"/>
      <c r="I26" s="58"/>
      <c r="J26" s="68"/>
    </row>
    <row r="27" ht="15.75" customHeight="1">
      <c r="A27" s="55" t="s">
        <v>2909</v>
      </c>
      <c r="B27" s="55"/>
      <c r="C27" s="55"/>
      <c r="D27" s="56"/>
      <c r="E27" s="56"/>
      <c r="F27" s="56"/>
      <c r="G27" s="57"/>
      <c r="H27" s="56"/>
      <c r="I27" s="58"/>
      <c r="J27" s="68"/>
    </row>
    <row r="28" ht="15.75" customHeight="1">
      <c r="A28" s="55" t="s">
        <v>2910</v>
      </c>
      <c r="B28" s="55"/>
      <c r="C28" s="55"/>
      <c r="D28" s="56"/>
      <c r="E28" s="56"/>
      <c r="F28" s="56"/>
      <c r="G28" s="57"/>
      <c r="H28" s="56"/>
      <c r="I28" s="58"/>
      <c r="J28" s="68"/>
    </row>
    <row r="29" ht="15.75" customHeight="1">
      <c r="A29" s="55" t="s">
        <v>2328</v>
      </c>
      <c r="B29" s="55"/>
      <c r="C29" s="55"/>
      <c r="D29" s="56"/>
      <c r="E29" s="56"/>
      <c r="F29" s="56"/>
      <c r="G29" s="57"/>
      <c r="H29" s="56"/>
      <c r="I29" s="58"/>
      <c r="J29" s="68"/>
    </row>
    <row r="30" ht="15.75" customHeight="1">
      <c r="A30" s="55" t="s">
        <v>2911</v>
      </c>
      <c r="B30" s="55"/>
      <c r="C30" s="55"/>
      <c r="D30" s="56"/>
      <c r="E30" s="56"/>
      <c r="F30" s="56"/>
      <c r="G30" s="57"/>
      <c r="H30" s="56"/>
      <c r="I30" s="58"/>
      <c r="J30" s="68"/>
    </row>
    <row r="31" ht="15.75" customHeight="1">
      <c r="A31" s="55" t="s">
        <v>2912</v>
      </c>
      <c r="B31" s="55"/>
      <c r="C31" s="55"/>
      <c r="D31" s="56"/>
      <c r="E31" s="56"/>
      <c r="F31" s="56"/>
      <c r="G31" s="57"/>
      <c r="H31" s="56"/>
      <c r="I31" s="58"/>
      <c r="J31" s="68"/>
    </row>
    <row r="32" ht="15.75" customHeight="1">
      <c r="A32" s="55" t="s">
        <v>2913</v>
      </c>
      <c r="B32" s="55"/>
      <c r="C32" s="55"/>
      <c r="D32" s="56"/>
      <c r="E32" s="56"/>
      <c r="F32" s="56"/>
      <c r="G32" s="57"/>
      <c r="H32" s="56"/>
      <c r="I32" s="58"/>
      <c r="J32" s="68"/>
    </row>
    <row r="33" ht="15.75" customHeight="1">
      <c r="A33" s="55" t="s">
        <v>2331</v>
      </c>
      <c r="B33" s="55"/>
      <c r="C33" s="55"/>
      <c r="D33" s="56"/>
      <c r="E33" s="56"/>
      <c r="F33" s="56"/>
      <c r="G33" s="57"/>
      <c r="H33" s="56"/>
      <c r="I33" s="58"/>
      <c r="J33" s="68"/>
    </row>
    <row r="34" ht="15.75" customHeight="1">
      <c r="A34" s="55" t="s">
        <v>2914</v>
      </c>
      <c r="B34" s="55"/>
      <c r="C34" s="55"/>
      <c r="D34" s="56"/>
      <c r="E34" s="56"/>
      <c r="F34" s="56"/>
      <c r="G34" s="57"/>
      <c r="H34" s="56"/>
      <c r="I34" s="58"/>
      <c r="J34" s="68"/>
    </row>
    <row r="35" ht="15.75" customHeight="1">
      <c r="A35" s="55" t="s">
        <v>2915</v>
      </c>
      <c r="B35" s="55"/>
      <c r="C35" s="55"/>
      <c r="D35" s="56"/>
      <c r="E35" s="56"/>
      <c r="F35" s="56"/>
      <c r="G35" s="57"/>
      <c r="H35" s="56"/>
      <c r="I35" s="58"/>
      <c r="J35" s="68"/>
    </row>
    <row r="36" ht="15.75" customHeight="1">
      <c r="A36" s="59" t="s">
        <v>2916</v>
      </c>
      <c r="B36" s="59"/>
      <c r="C36" s="59"/>
      <c r="D36" s="60"/>
      <c r="E36" s="60"/>
      <c r="F36" s="60"/>
      <c r="G36" s="61"/>
      <c r="H36" s="60"/>
      <c r="I36" s="62"/>
      <c r="J36" s="68"/>
    </row>
    <row r="37" ht="15.75" customHeight="1">
      <c r="A37" s="55" t="s">
        <v>2917</v>
      </c>
      <c r="B37" s="55"/>
      <c r="C37" s="55"/>
      <c r="D37" s="56"/>
      <c r="E37" s="56"/>
      <c r="F37" s="56"/>
      <c r="G37" s="57"/>
      <c r="H37" s="56"/>
      <c r="I37" s="58"/>
      <c r="J37" s="68"/>
    </row>
    <row r="38" ht="15.75" customHeight="1">
      <c r="A38" s="55" t="s">
        <v>2918</v>
      </c>
      <c r="B38" s="55"/>
      <c r="C38" s="55"/>
      <c r="D38" s="56"/>
      <c r="E38" s="56"/>
      <c r="F38" s="56"/>
      <c r="G38" s="57"/>
      <c r="H38" s="56"/>
      <c r="I38" s="58"/>
      <c r="J38" s="68"/>
    </row>
    <row r="39" ht="15.75" customHeight="1">
      <c r="A39" s="55" t="s">
        <v>2919</v>
      </c>
      <c r="B39" s="55"/>
      <c r="C39" s="55"/>
      <c r="D39" s="56"/>
      <c r="E39" s="56"/>
      <c r="F39" s="56"/>
      <c r="G39" s="57"/>
      <c r="H39" s="56"/>
      <c r="I39" s="58"/>
      <c r="J39" s="68"/>
    </row>
    <row r="40" ht="15.75" customHeight="1">
      <c r="A40" s="55" t="s">
        <v>2920</v>
      </c>
      <c r="B40" s="55"/>
      <c r="C40" s="55"/>
      <c r="D40" s="56"/>
      <c r="E40" s="56"/>
      <c r="F40" s="56"/>
      <c r="G40" s="57"/>
      <c r="H40" s="56"/>
      <c r="I40" s="58"/>
      <c r="J40" s="68"/>
    </row>
    <row r="41" ht="15.75" customHeight="1">
      <c r="A41" s="55" t="s">
        <v>2921</v>
      </c>
      <c r="B41" s="55"/>
      <c r="C41" s="55"/>
      <c r="D41" s="56"/>
      <c r="E41" s="56"/>
      <c r="F41" s="56"/>
      <c r="G41" s="57"/>
      <c r="H41" s="56"/>
      <c r="I41" s="58"/>
      <c r="J41" s="68"/>
    </row>
    <row r="42" ht="15.75" customHeight="1">
      <c r="A42" s="55" t="s">
        <v>2336</v>
      </c>
      <c r="B42" s="55"/>
      <c r="C42" s="55"/>
      <c r="D42" s="56"/>
      <c r="E42" s="56"/>
      <c r="F42" s="56"/>
      <c r="G42" s="57"/>
      <c r="H42" s="56"/>
      <c r="I42" s="58"/>
      <c r="J42" s="68"/>
    </row>
    <row r="43" ht="15.75" customHeight="1">
      <c r="A43" s="55" t="s">
        <v>2922</v>
      </c>
      <c r="B43" s="55"/>
      <c r="C43" s="55"/>
      <c r="D43" s="56"/>
      <c r="E43" s="56"/>
      <c r="F43" s="56"/>
      <c r="G43" s="57"/>
      <c r="H43" s="56"/>
      <c r="I43" s="58"/>
      <c r="J43" s="68"/>
    </row>
    <row r="44" ht="15.75" customHeight="1">
      <c r="A44" s="55" t="s">
        <v>2923</v>
      </c>
      <c r="B44" s="55"/>
      <c r="C44" s="55"/>
      <c r="D44" s="56"/>
      <c r="E44" s="56"/>
      <c r="F44" s="56"/>
      <c r="G44" s="57"/>
      <c r="H44" s="56"/>
      <c r="I44" s="58"/>
      <c r="J44" s="68"/>
    </row>
    <row r="45" ht="15.75" customHeight="1">
      <c r="A45" s="55" t="s">
        <v>2924</v>
      </c>
      <c r="B45" s="55"/>
      <c r="C45" s="55"/>
      <c r="D45" s="56"/>
      <c r="E45" s="56"/>
      <c r="F45" s="56"/>
      <c r="G45" s="57"/>
      <c r="H45" s="56"/>
      <c r="I45" s="58"/>
      <c r="J45" s="68"/>
    </row>
    <row r="46" ht="15.75" customHeight="1">
      <c r="A46" s="55" t="s">
        <v>2925</v>
      </c>
      <c r="B46" s="55"/>
      <c r="C46" s="55"/>
      <c r="D46" s="56"/>
      <c r="E46" s="56"/>
      <c r="F46" s="56"/>
      <c r="G46" s="57"/>
      <c r="H46" s="56"/>
      <c r="I46" s="58"/>
      <c r="J46" s="68"/>
    </row>
    <row r="47" ht="15.75" customHeight="1">
      <c r="A47" s="55" t="s">
        <v>2926</v>
      </c>
      <c r="B47" s="55"/>
      <c r="C47" s="55"/>
      <c r="D47" s="56"/>
      <c r="E47" s="56"/>
      <c r="F47" s="56"/>
      <c r="G47" s="57"/>
      <c r="H47" s="56"/>
      <c r="I47" s="58"/>
      <c r="J47" s="68"/>
    </row>
    <row r="48" ht="15.75" customHeight="1">
      <c r="A48" s="59" t="s">
        <v>2927</v>
      </c>
      <c r="B48" s="59"/>
      <c r="C48" s="59"/>
      <c r="D48" s="60"/>
      <c r="E48" s="60"/>
      <c r="F48" s="60"/>
      <c r="G48" s="61"/>
      <c r="H48" s="60"/>
      <c r="I48" s="62"/>
      <c r="J48" s="68"/>
    </row>
    <row r="49" ht="15.75" customHeight="1">
      <c r="A49" s="55" t="s">
        <v>2928</v>
      </c>
      <c r="B49" s="55"/>
      <c r="C49" s="55"/>
      <c r="D49" s="56"/>
      <c r="E49" s="56"/>
      <c r="F49" s="56"/>
      <c r="G49" s="57"/>
      <c r="H49" s="56"/>
      <c r="I49" s="58"/>
      <c r="J49" s="68"/>
    </row>
    <row r="50" ht="15.75" customHeight="1">
      <c r="A50" s="55" t="s">
        <v>2929</v>
      </c>
      <c r="B50" s="55"/>
      <c r="C50" s="55"/>
      <c r="D50" s="56"/>
      <c r="E50" s="56"/>
      <c r="F50" s="56"/>
      <c r="G50" s="57"/>
      <c r="H50" s="56"/>
      <c r="I50" s="58"/>
      <c r="J50" s="68"/>
    </row>
    <row r="51" ht="15.75" customHeight="1">
      <c r="A51" s="55" t="s">
        <v>2930</v>
      </c>
      <c r="B51" s="55"/>
      <c r="C51" s="55"/>
      <c r="D51" s="56"/>
      <c r="E51" s="56"/>
      <c r="F51" s="56"/>
      <c r="G51" s="57"/>
      <c r="H51" s="56"/>
      <c r="I51" s="58"/>
      <c r="J51" s="68"/>
    </row>
    <row r="52" ht="15.75" customHeight="1">
      <c r="A52" s="55" t="s">
        <v>2931</v>
      </c>
      <c r="B52" s="55"/>
      <c r="C52" s="55"/>
      <c r="D52" s="56"/>
      <c r="E52" s="56"/>
      <c r="F52" s="56"/>
      <c r="G52" s="57"/>
      <c r="H52" s="56"/>
      <c r="I52" s="58"/>
      <c r="J52" s="68"/>
    </row>
    <row r="53" ht="15.75" customHeight="1">
      <c r="A53" s="55" t="s">
        <v>2932</v>
      </c>
      <c r="B53" s="55"/>
      <c r="C53" s="55"/>
      <c r="D53" s="56"/>
      <c r="E53" s="56"/>
      <c r="F53" s="56"/>
      <c r="G53" s="57"/>
      <c r="H53" s="56"/>
      <c r="I53" s="58"/>
      <c r="J53" s="68"/>
    </row>
    <row r="54" ht="15.75" customHeight="1">
      <c r="A54" s="55" t="s">
        <v>2933</v>
      </c>
      <c r="B54" s="55"/>
      <c r="C54" s="55"/>
      <c r="D54" s="56"/>
      <c r="E54" s="56"/>
      <c r="F54" s="56"/>
      <c r="G54" s="57"/>
      <c r="H54" s="56"/>
      <c r="I54" s="58"/>
      <c r="J54" s="68"/>
    </row>
    <row r="55" ht="15.75" customHeight="1">
      <c r="A55" s="55" t="s">
        <v>2934</v>
      </c>
      <c r="B55" s="55"/>
      <c r="C55" s="55"/>
      <c r="D55" s="56"/>
      <c r="E55" s="56"/>
      <c r="F55" s="56"/>
      <c r="G55" s="57"/>
      <c r="H55" s="56"/>
      <c r="I55" s="58"/>
      <c r="J55" s="68"/>
    </row>
    <row r="56" ht="15.75" customHeight="1">
      <c r="A56" s="55" t="s">
        <v>2935</v>
      </c>
      <c r="B56" s="55"/>
      <c r="C56" s="55"/>
      <c r="D56" s="56"/>
      <c r="E56" s="56"/>
      <c r="F56" s="56"/>
      <c r="G56" s="57"/>
      <c r="H56" s="56"/>
      <c r="I56" s="58"/>
      <c r="J56" s="68"/>
    </row>
    <row r="57" ht="15.75" customHeight="1">
      <c r="A57" s="55" t="s">
        <v>2936</v>
      </c>
      <c r="B57" s="55"/>
      <c r="C57" s="55"/>
      <c r="D57" s="56"/>
      <c r="E57" s="56"/>
      <c r="F57" s="56"/>
      <c r="G57" s="57"/>
      <c r="H57" s="56"/>
      <c r="I57" s="58"/>
      <c r="J57" s="68"/>
    </row>
    <row r="58" ht="15.75" customHeight="1">
      <c r="A58" s="59" t="s">
        <v>2937</v>
      </c>
      <c r="B58" s="59"/>
      <c r="C58" s="59"/>
      <c r="D58" s="60"/>
      <c r="E58" s="60"/>
      <c r="F58" s="60"/>
      <c r="G58" s="61"/>
      <c r="H58" s="60"/>
      <c r="I58" s="62"/>
      <c r="J58" s="68"/>
    </row>
    <row r="59" ht="15.75" customHeight="1">
      <c r="A59" s="55" t="s">
        <v>2938</v>
      </c>
      <c r="B59" s="55"/>
      <c r="C59" s="55"/>
      <c r="D59" s="56"/>
      <c r="E59" s="56"/>
      <c r="F59" s="56"/>
      <c r="G59" s="57"/>
      <c r="H59" s="56"/>
      <c r="I59" s="58"/>
      <c r="J59" s="68"/>
    </row>
    <row r="60" ht="15.75" customHeight="1">
      <c r="A60" s="55" t="s">
        <v>2358</v>
      </c>
      <c r="B60" s="55"/>
      <c r="C60" s="55"/>
      <c r="D60" s="56"/>
      <c r="E60" s="56"/>
      <c r="F60" s="56"/>
      <c r="G60" s="57"/>
      <c r="H60" s="56"/>
      <c r="I60" s="58"/>
      <c r="J60" s="68"/>
    </row>
    <row r="61" ht="15.75" customHeight="1">
      <c r="A61" s="55" t="s">
        <v>2939</v>
      </c>
      <c r="B61" s="55"/>
      <c r="C61" s="55"/>
      <c r="D61" s="56"/>
      <c r="E61" s="56"/>
      <c r="F61" s="56"/>
      <c r="G61" s="57"/>
      <c r="H61" s="56"/>
      <c r="I61" s="58"/>
      <c r="J61" s="68"/>
    </row>
    <row r="62" ht="15.75" customHeight="1">
      <c r="A62" s="55" t="s">
        <v>2940</v>
      </c>
      <c r="B62" s="55"/>
      <c r="C62" s="55"/>
      <c r="D62" s="56"/>
      <c r="E62" s="56"/>
      <c r="F62" s="56"/>
      <c r="G62" s="57"/>
      <c r="H62" s="56"/>
      <c r="I62" s="58"/>
      <c r="J62" s="68"/>
    </row>
    <row r="63" ht="15.75" customHeight="1">
      <c r="A63" s="37" t="str">
        <f t="shared" ref="A63:A72" si="1">HYPERLINK("https://drive.google.com/drive/folders/1U8AKQd97vNRlsDySngESbqySShaAh6Yq", "01 - JAN - 26 / 30/01 - SEX")</f>
        <v>01 - JAN - 26 / 30/01 - SEX</v>
      </c>
      <c r="B63" s="59" t="s">
        <v>2941</v>
      </c>
      <c r="C63" s="59" t="s">
        <v>86</v>
      </c>
      <c r="D63" s="60" t="s">
        <v>378</v>
      </c>
      <c r="E63" s="60" t="s">
        <v>378</v>
      </c>
      <c r="F63" s="60"/>
      <c r="G63" s="61" t="s">
        <v>2942</v>
      </c>
      <c r="H63" s="63" t="s">
        <v>2943</v>
      </c>
      <c r="I63" s="62">
        <v>46054.0</v>
      </c>
      <c r="J63" s="68"/>
    </row>
    <row r="64" ht="15.75" customHeight="1">
      <c r="A64" s="29" t="str">
        <f t="shared" si="1"/>
        <v>01 - JAN - 26 / 30/01 - SEX</v>
      </c>
      <c r="B64" s="55" t="s">
        <v>2944</v>
      </c>
      <c r="C64" s="55" t="s">
        <v>86</v>
      </c>
      <c r="D64" s="56" t="s">
        <v>378</v>
      </c>
      <c r="E64" s="56" t="s">
        <v>378</v>
      </c>
      <c r="F64" s="56"/>
      <c r="G64" s="57" t="s">
        <v>2945</v>
      </c>
      <c r="H64" s="64" t="s">
        <v>2946</v>
      </c>
      <c r="I64" s="58">
        <v>46054.0</v>
      </c>
      <c r="J64" s="68"/>
    </row>
    <row r="65" ht="15.75" customHeight="1">
      <c r="A65" s="29" t="str">
        <f t="shared" si="1"/>
        <v>01 - JAN - 26 / 30/01 - SEX</v>
      </c>
      <c r="B65" s="55" t="s">
        <v>2947</v>
      </c>
      <c r="C65" s="55" t="s">
        <v>86</v>
      </c>
      <c r="D65" s="56" t="s">
        <v>378</v>
      </c>
      <c r="E65" s="56" t="s">
        <v>378</v>
      </c>
      <c r="F65" s="56"/>
      <c r="G65" s="57" t="s">
        <v>2948</v>
      </c>
      <c r="H65" s="64" t="s">
        <v>2949</v>
      </c>
      <c r="I65" s="58">
        <v>46054.0</v>
      </c>
      <c r="J65" s="68"/>
    </row>
    <row r="66" ht="15.75" customHeight="1">
      <c r="A66" s="29" t="str">
        <f t="shared" si="1"/>
        <v>01 - JAN - 26 / 30/01 - SEX</v>
      </c>
      <c r="B66" s="55" t="s">
        <v>2950</v>
      </c>
      <c r="C66" s="55" t="s">
        <v>86</v>
      </c>
      <c r="D66" s="56" t="s">
        <v>378</v>
      </c>
      <c r="E66" s="56" t="s">
        <v>378</v>
      </c>
      <c r="F66" s="56"/>
      <c r="G66" s="57" t="s">
        <v>2951</v>
      </c>
      <c r="H66" s="64" t="s">
        <v>2952</v>
      </c>
      <c r="I66" s="58">
        <v>46054.0</v>
      </c>
      <c r="J66" s="68"/>
    </row>
    <row r="67" ht="15.75" customHeight="1">
      <c r="A67" s="29" t="str">
        <f t="shared" si="1"/>
        <v>01 - JAN - 26 / 30/01 - SEX</v>
      </c>
      <c r="B67" s="55" t="s">
        <v>2953</v>
      </c>
      <c r="C67" s="55" t="s">
        <v>86</v>
      </c>
      <c r="D67" s="56" t="s">
        <v>378</v>
      </c>
      <c r="E67" s="56" t="s">
        <v>378</v>
      </c>
      <c r="F67" s="56"/>
      <c r="G67" s="57" t="s">
        <v>2954</v>
      </c>
      <c r="H67" s="64" t="s">
        <v>2955</v>
      </c>
      <c r="I67" s="58">
        <v>46051.0</v>
      </c>
      <c r="J67" s="68"/>
    </row>
    <row r="68" ht="15.75" customHeight="1">
      <c r="A68" s="29" t="str">
        <f t="shared" si="1"/>
        <v>01 - JAN - 26 / 30/01 - SEX</v>
      </c>
      <c r="B68" s="55" t="s">
        <v>2956</v>
      </c>
      <c r="C68" s="55" t="s">
        <v>86</v>
      </c>
      <c r="D68" s="56" t="s">
        <v>378</v>
      </c>
      <c r="E68" s="56" t="s">
        <v>378</v>
      </c>
      <c r="F68" s="56"/>
      <c r="G68" s="57" t="s">
        <v>2957</v>
      </c>
      <c r="H68" s="64" t="s">
        <v>2958</v>
      </c>
      <c r="I68" s="58">
        <v>46051.0</v>
      </c>
      <c r="J68" s="68"/>
    </row>
    <row r="69" ht="15.75" customHeight="1">
      <c r="A69" s="29" t="str">
        <f t="shared" si="1"/>
        <v>01 - JAN - 26 / 30/01 - SEX</v>
      </c>
      <c r="B69" s="55" t="s">
        <v>2959</v>
      </c>
      <c r="C69" s="55" t="s">
        <v>86</v>
      </c>
      <c r="D69" s="56" t="s">
        <v>378</v>
      </c>
      <c r="E69" s="56" t="s">
        <v>378</v>
      </c>
      <c r="F69" s="56"/>
      <c r="G69" s="57" t="s">
        <v>2960</v>
      </c>
      <c r="H69" s="64" t="s">
        <v>2961</v>
      </c>
      <c r="I69" s="58">
        <v>46051.0</v>
      </c>
      <c r="J69" s="68"/>
    </row>
    <row r="70" ht="15.75" customHeight="1">
      <c r="A70" s="29" t="str">
        <f t="shared" si="1"/>
        <v>01 - JAN - 26 / 30/01 - SEX</v>
      </c>
      <c r="B70" s="55" t="s">
        <v>2962</v>
      </c>
      <c r="C70" s="55" t="s">
        <v>86</v>
      </c>
      <c r="D70" s="56" t="s">
        <v>378</v>
      </c>
      <c r="E70" s="56" t="s">
        <v>378</v>
      </c>
      <c r="F70" s="56"/>
      <c r="G70" s="57" t="s">
        <v>2963</v>
      </c>
      <c r="H70" s="64" t="s">
        <v>2964</v>
      </c>
      <c r="I70" s="58">
        <v>46051.0</v>
      </c>
      <c r="J70" s="68"/>
    </row>
    <row r="71" ht="15.75" customHeight="1">
      <c r="A71" s="29" t="str">
        <f t="shared" si="1"/>
        <v>01 - JAN - 26 / 30/01 - SEX</v>
      </c>
      <c r="B71" s="55" t="s">
        <v>2965</v>
      </c>
      <c r="C71" s="55" t="s">
        <v>86</v>
      </c>
      <c r="D71" s="56" t="s">
        <v>378</v>
      </c>
      <c r="E71" s="56" t="s">
        <v>378</v>
      </c>
      <c r="F71" s="56"/>
      <c r="G71" s="57" t="s">
        <v>2966</v>
      </c>
      <c r="H71" s="64" t="s">
        <v>2967</v>
      </c>
      <c r="I71" s="58">
        <v>46051.0</v>
      </c>
      <c r="J71" s="68"/>
    </row>
    <row r="72" ht="15.75" customHeight="1">
      <c r="A72" s="29" t="str">
        <f t="shared" si="1"/>
        <v>01 - JAN - 26 / 30/01 - SEX</v>
      </c>
      <c r="B72" s="55" t="s">
        <v>2968</v>
      </c>
      <c r="C72" s="55" t="s">
        <v>86</v>
      </c>
      <c r="D72" s="56" t="s">
        <v>378</v>
      </c>
      <c r="E72" s="56" t="s">
        <v>378</v>
      </c>
      <c r="F72" s="56"/>
      <c r="G72" s="57" t="s">
        <v>2969</v>
      </c>
      <c r="H72" s="64" t="s">
        <v>2970</v>
      </c>
      <c r="I72" s="58">
        <v>46051.0</v>
      </c>
      <c r="J72" s="68"/>
    </row>
    <row r="73" ht="15.75" customHeight="1">
      <c r="A73" s="37" t="str">
        <f t="shared" ref="A73:A82" si="2">HYPERLINK("https://drive.google.com/drive/folders/15RBvmO1B0KhTQOeNFy1ZWwIr21orgWNu", "01 - JAN - 26 / 29/01 - QUI")</f>
        <v>01 - JAN - 26 / 29/01 - QUI</v>
      </c>
      <c r="B73" s="59" t="s">
        <v>2971</v>
      </c>
      <c r="C73" s="59" t="s">
        <v>602</v>
      </c>
      <c r="D73" s="60" t="s">
        <v>378</v>
      </c>
      <c r="E73" s="60" t="s">
        <v>378</v>
      </c>
      <c r="F73" s="60"/>
      <c r="G73" s="61" t="s">
        <v>2972</v>
      </c>
      <c r="H73" s="63" t="s">
        <v>2973</v>
      </c>
      <c r="I73" s="62">
        <v>46051.0</v>
      </c>
      <c r="J73" s="68"/>
    </row>
    <row r="74" ht="15.75" customHeight="1">
      <c r="A74" s="29" t="str">
        <f t="shared" si="2"/>
        <v>01 - JAN - 26 / 29/01 - QUI</v>
      </c>
      <c r="B74" s="55" t="s">
        <v>2974</v>
      </c>
      <c r="C74" s="55" t="s">
        <v>602</v>
      </c>
      <c r="D74" s="56" t="s">
        <v>378</v>
      </c>
      <c r="E74" s="56" t="s">
        <v>378</v>
      </c>
      <c r="F74" s="56"/>
      <c r="G74" s="57" t="s">
        <v>2975</v>
      </c>
      <c r="H74" s="64" t="s">
        <v>2976</v>
      </c>
      <c r="I74" s="58">
        <v>46051.0</v>
      </c>
      <c r="J74" s="68"/>
    </row>
    <row r="75" ht="15.75" customHeight="1">
      <c r="A75" s="29" t="str">
        <f t="shared" si="2"/>
        <v>01 - JAN - 26 / 29/01 - QUI</v>
      </c>
      <c r="B75" s="55" t="s">
        <v>2977</v>
      </c>
      <c r="C75" s="55" t="s">
        <v>602</v>
      </c>
      <c r="D75" s="56" t="s">
        <v>378</v>
      </c>
      <c r="E75" s="56" t="s">
        <v>378</v>
      </c>
      <c r="F75" s="56"/>
      <c r="G75" s="57" t="s">
        <v>2978</v>
      </c>
      <c r="H75" s="64" t="s">
        <v>2979</v>
      </c>
      <c r="I75" s="58">
        <v>46051.0</v>
      </c>
      <c r="J75" s="68"/>
    </row>
    <row r="76" ht="15.75" customHeight="1">
      <c r="A76" s="29" t="str">
        <f t="shared" si="2"/>
        <v>01 - JAN - 26 / 29/01 - QUI</v>
      </c>
      <c r="B76" s="55" t="s">
        <v>2980</v>
      </c>
      <c r="C76" s="55" t="s">
        <v>602</v>
      </c>
      <c r="D76" s="56" t="s">
        <v>378</v>
      </c>
      <c r="E76" s="56" t="s">
        <v>378</v>
      </c>
      <c r="F76" s="56"/>
      <c r="G76" s="57" t="s">
        <v>2981</v>
      </c>
      <c r="H76" s="64" t="s">
        <v>2982</v>
      </c>
      <c r="I76" s="58">
        <v>46051.0</v>
      </c>
      <c r="J76" s="68"/>
    </row>
    <row r="77" ht="15.75" customHeight="1">
      <c r="A77" s="29" t="str">
        <f t="shared" si="2"/>
        <v>01 - JAN - 26 / 29/01 - QUI</v>
      </c>
      <c r="B77" s="55" t="s">
        <v>2983</v>
      </c>
      <c r="C77" s="55" t="s">
        <v>602</v>
      </c>
      <c r="D77" s="56" t="s">
        <v>378</v>
      </c>
      <c r="E77" s="56" t="s">
        <v>378</v>
      </c>
      <c r="F77" s="56"/>
      <c r="G77" s="57" t="s">
        <v>2984</v>
      </c>
      <c r="H77" s="64" t="s">
        <v>2985</v>
      </c>
      <c r="I77" s="58">
        <v>46051.0</v>
      </c>
      <c r="J77" s="68"/>
    </row>
    <row r="78" ht="15.75" customHeight="1">
      <c r="A78" s="29" t="str">
        <f t="shared" si="2"/>
        <v>01 - JAN - 26 / 29/01 - QUI</v>
      </c>
      <c r="B78" s="55" t="s">
        <v>2986</v>
      </c>
      <c r="C78" s="55" t="s">
        <v>602</v>
      </c>
      <c r="D78" s="56" t="s">
        <v>378</v>
      </c>
      <c r="E78" s="56" t="s">
        <v>378</v>
      </c>
      <c r="F78" s="56"/>
      <c r="G78" s="57" t="s">
        <v>2987</v>
      </c>
      <c r="H78" s="64" t="s">
        <v>2988</v>
      </c>
      <c r="I78" s="58">
        <v>46051.0</v>
      </c>
      <c r="J78" s="68"/>
    </row>
    <row r="79" ht="15.75" customHeight="1">
      <c r="A79" s="29" t="str">
        <f t="shared" si="2"/>
        <v>01 - JAN - 26 / 29/01 - QUI</v>
      </c>
      <c r="B79" s="55" t="s">
        <v>2989</v>
      </c>
      <c r="C79" s="55" t="s">
        <v>602</v>
      </c>
      <c r="D79" s="56" t="s">
        <v>378</v>
      </c>
      <c r="E79" s="56" t="s">
        <v>378</v>
      </c>
      <c r="F79" s="56"/>
      <c r="G79" s="57" t="s">
        <v>2990</v>
      </c>
      <c r="H79" s="64" t="s">
        <v>2991</v>
      </c>
      <c r="I79" s="58">
        <v>46051.0</v>
      </c>
      <c r="J79" s="68"/>
    </row>
    <row r="80" ht="15.75" customHeight="1">
      <c r="A80" s="29" t="str">
        <f t="shared" si="2"/>
        <v>01 - JAN - 26 / 29/01 - QUI</v>
      </c>
      <c r="B80" s="55" t="s">
        <v>2992</v>
      </c>
      <c r="C80" s="55" t="s">
        <v>602</v>
      </c>
      <c r="D80" s="56" t="s">
        <v>378</v>
      </c>
      <c r="E80" s="56" t="s">
        <v>378</v>
      </c>
      <c r="F80" s="56"/>
      <c r="G80" s="57" t="s">
        <v>2993</v>
      </c>
      <c r="H80" s="64" t="s">
        <v>2994</v>
      </c>
      <c r="I80" s="58">
        <v>46051.0</v>
      </c>
      <c r="J80" s="68"/>
    </row>
    <row r="81" ht="15.75" customHeight="1">
      <c r="A81" s="29" t="str">
        <f t="shared" si="2"/>
        <v>01 - JAN - 26 / 29/01 - QUI</v>
      </c>
      <c r="B81" s="55" t="s">
        <v>2995</v>
      </c>
      <c r="C81" s="55" t="s">
        <v>602</v>
      </c>
      <c r="D81" s="56" t="s">
        <v>378</v>
      </c>
      <c r="E81" s="56" t="s">
        <v>378</v>
      </c>
      <c r="F81" s="56"/>
      <c r="G81" s="57" t="s">
        <v>2996</v>
      </c>
      <c r="H81" s="64" t="s">
        <v>2997</v>
      </c>
      <c r="I81" s="58">
        <v>46051.0</v>
      </c>
      <c r="J81" s="68"/>
    </row>
    <row r="82" ht="15.75" customHeight="1">
      <c r="A82" s="29" t="str">
        <f t="shared" si="2"/>
        <v>01 - JAN - 26 / 29/01 - QUI</v>
      </c>
      <c r="B82" s="55" t="s">
        <v>2998</v>
      </c>
      <c r="C82" s="55" t="s">
        <v>602</v>
      </c>
      <c r="D82" s="56" t="s">
        <v>378</v>
      </c>
      <c r="E82" s="56" t="s">
        <v>378</v>
      </c>
      <c r="F82" s="56"/>
      <c r="G82" s="57" t="s">
        <v>2999</v>
      </c>
      <c r="H82" s="64" t="s">
        <v>3000</v>
      </c>
      <c r="I82" s="58">
        <v>46051.0</v>
      </c>
      <c r="J82" s="68"/>
    </row>
    <row r="83" ht="15.75" customHeight="1">
      <c r="A83" s="37" t="str">
        <f t="shared" ref="A83:A92" si="3">HYPERLINK("https://drive.google.com/drive/folders/1HjduD-YTISkYIzqIVi-Gnacpl8VQTu7R", "01 - JAN - 26 / 28/01 - QUA")</f>
        <v>01 - JAN - 26 / 28/01 - QUA</v>
      </c>
      <c r="B83" s="59" t="s">
        <v>3001</v>
      </c>
      <c r="C83" s="59" t="s">
        <v>86</v>
      </c>
      <c r="D83" s="60" t="s">
        <v>378</v>
      </c>
      <c r="E83" s="60" t="s">
        <v>378</v>
      </c>
      <c r="F83" s="60"/>
      <c r="G83" s="61" t="s">
        <v>3002</v>
      </c>
      <c r="H83" s="63" t="s">
        <v>3003</v>
      </c>
      <c r="I83" s="62">
        <v>46050.0</v>
      </c>
      <c r="J83" s="68"/>
    </row>
    <row r="84" ht="15.75" customHeight="1">
      <c r="A84" s="29" t="str">
        <f t="shared" si="3"/>
        <v>01 - JAN - 26 / 28/01 - QUA</v>
      </c>
      <c r="B84" s="55" t="s">
        <v>3004</v>
      </c>
      <c r="C84" s="55" t="s">
        <v>86</v>
      </c>
      <c r="D84" s="56" t="s">
        <v>378</v>
      </c>
      <c r="E84" s="56" t="s">
        <v>378</v>
      </c>
      <c r="F84" s="56"/>
      <c r="G84" s="57" t="s">
        <v>3005</v>
      </c>
      <c r="H84" s="64" t="s">
        <v>3006</v>
      </c>
      <c r="I84" s="58">
        <v>46050.0</v>
      </c>
      <c r="J84" s="68"/>
    </row>
    <row r="85" ht="15.75" customHeight="1">
      <c r="A85" s="29" t="str">
        <f t="shared" si="3"/>
        <v>01 - JAN - 26 / 28/01 - QUA</v>
      </c>
      <c r="B85" s="55" t="s">
        <v>3007</v>
      </c>
      <c r="C85" s="55" t="s">
        <v>86</v>
      </c>
      <c r="D85" s="56" t="s">
        <v>378</v>
      </c>
      <c r="E85" s="56" t="s">
        <v>378</v>
      </c>
      <c r="F85" s="56"/>
      <c r="G85" s="57" t="s">
        <v>3008</v>
      </c>
      <c r="H85" s="64" t="s">
        <v>3009</v>
      </c>
      <c r="I85" s="58">
        <v>46050.0</v>
      </c>
      <c r="J85" s="68"/>
    </row>
    <row r="86" ht="15.75" customHeight="1">
      <c r="A86" s="29" t="str">
        <f t="shared" si="3"/>
        <v>01 - JAN - 26 / 28/01 - QUA</v>
      </c>
      <c r="B86" s="55" t="s">
        <v>3010</v>
      </c>
      <c r="C86" s="55" t="s">
        <v>86</v>
      </c>
      <c r="D86" s="56" t="s">
        <v>378</v>
      </c>
      <c r="E86" s="56" t="s">
        <v>378</v>
      </c>
      <c r="F86" s="56"/>
      <c r="G86" s="57" t="s">
        <v>3011</v>
      </c>
      <c r="H86" s="64" t="s">
        <v>3012</v>
      </c>
      <c r="I86" s="58">
        <v>46050.0</v>
      </c>
      <c r="J86" s="68"/>
    </row>
    <row r="87" ht="15.75" customHeight="1">
      <c r="A87" s="29" t="str">
        <f t="shared" si="3"/>
        <v>01 - JAN - 26 / 28/01 - QUA</v>
      </c>
      <c r="B87" s="55" t="s">
        <v>3013</v>
      </c>
      <c r="C87" s="55" t="s">
        <v>86</v>
      </c>
      <c r="D87" s="56" t="s">
        <v>378</v>
      </c>
      <c r="E87" s="56" t="s">
        <v>378</v>
      </c>
      <c r="F87" s="56"/>
      <c r="G87" s="57" t="s">
        <v>3014</v>
      </c>
      <c r="H87" s="64" t="s">
        <v>3015</v>
      </c>
      <c r="I87" s="58">
        <v>46050.0</v>
      </c>
      <c r="J87" s="68"/>
    </row>
    <row r="88" ht="15.75" customHeight="1">
      <c r="A88" s="29" t="str">
        <f t="shared" si="3"/>
        <v>01 - JAN - 26 / 28/01 - QUA</v>
      </c>
      <c r="B88" s="55" t="s">
        <v>3016</v>
      </c>
      <c r="C88" s="55" t="s">
        <v>86</v>
      </c>
      <c r="D88" s="56" t="s">
        <v>378</v>
      </c>
      <c r="E88" s="56" t="s">
        <v>378</v>
      </c>
      <c r="F88" s="56"/>
      <c r="G88" s="57" t="s">
        <v>3017</v>
      </c>
      <c r="H88" s="64" t="s">
        <v>3018</v>
      </c>
      <c r="I88" s="58">
        <v>46050.0</v>
      </c>
      <c r="J88" s="68"/>
    </row>
    <row r="89" ht="15.75" customHeight="1">
      <c r="A89" s="29" t="str">
        <f t="shared" si="3"/>
        <v>01 - JAN - 26 / 28/01 - QUA</v>
      </c>
      <c r="B89" s="55" t="s">
        <v>3019</v>
      </c>
      <c r="C89" s="55" t="s">
        <v>86</v>
      </c>
      <c r="D89" s="56" t="s">
        <v>378</v>
      </c>
      <c r="E89" s="56" t="s">
        <v>378</v>
      </c>
      <c r="F89" s="56"/>
      <c r="G89" s="57" t="s">
        <v>3020</v>
      </c>
      <c r="H89" s="64" t="s">
        <v>3021</v>
      </c>
      <c r="I89" s="58">
        <v>46049.0</v>
      </c>
      <c r="J89" s="68"/>
    </row>
    <row r="90" ht="15.75" customHeight="1">
      <c r="A90" s="29" t="str">
        <f t="shared" si="3"/>
        <v>01 - JAN - 26 / 28/01 - QUA</v>
      </c>
      <c r="B90" s="55" t="s">
        <v>3022</v>
      </c>
      <c r="C90" s="55" t="s">
        <v>86</v>
      </c>
      <c r="D90" s="56" t="s">
        <v>378</v>
      </c>
      <c r="E90" s="56" t="s">
        <v>378</v>
      </c>
      <c r="F90" s="56"/>
      <c r="G90" s="57" t="s">
        <v>3023</v>
      </c>
      <c r="H90" s="64" t="s">
        <v>3024</v>
      </c>
      <c r="I90" s="58">
        <v>46049.0</v>
      </c>
      <c r="J90" s="68"/>
    </row>
    <row r="91" ht="15.75" customHeight="1">
      <c r="A91" s="29" t="str">
        <f t="shared" si="3"/>
        <v>01 - JAN - 26 / 28/01 - QUA</v>
      </c>
      <c r="B91" s="55" t="s">
        <v>3025</v>
      </c>
      <c r="C91" s="55" t="s">
        <v>86</v>
      </c>
      <c r="D91" s="56" t="s">
        <v>378</v>
      </c>
      <c r="E91" s="56" t="s">
        <v>378</v>
      </c>
      <c r="F91" s="56"/>
      <c r="G91" s="57" t="s">
        <v>3026</v>
      </c>
      <c r="H91" s="64" t="s">
        <v>3027</v>
      </c>
      <c r="I91" s="58">
        <v>46049.0</v>
      </c>
      <c r="J91" s="68"/>
    </row>
    <row r="92" ht="15.75" customHeight="1">
      <c r="A92" s="29" t="str">
        <f t="shared" si="3"/>
        <v>01 - JAN - 26 / 28/01 - QUA</v>
      </c>
      <c r="B92" s="55" t="s">
        <v>3028</v>
      </c>
      <c r="C92" s="55" t="s">
        <v>86</v>
      </c>
      <c r="D92" s="56" t="s">
        <v>378</v>
      </c>
      <c r="E92" s="56" t="s">
        <v>378</v>
      </c>
      <c r="F92" s="56"/>
      <c r="G92" s="57" t="s">
        <v>3029</v>
      </c>
      <c r="H92" s="64" t="s">
        <v>3030</v>
      </c>
      <c r="I92" s="58">
        <v>46049.0</v>
      </c>
      <c r="J92" s="68"/>
    </row>
    <row r="93" ht="15.75" customHeight="1">
      <c r="A93" s="37" t="str">
        <f t="shared" ref="A93:A102" si="4">HYPERLINK("https://drive.google.com/drive/folders/1i07y3qNQxefLkI15n8tlo6ccMD03s_z1", "01 - JAN - 26 / 27/01 - TER")</f>
        <v>01 - JAN - 26 / 27/01 - TER</v>
      </c>
      <c r="B93" s="59" t="s">
        <v>3031</v>
      </c>
      <c r="C93" s="59" t="s">
        <v>602</v>
      </c>
      <c r="D93" s="60" t="s">
        <v>378</v>
      </c>
      <c r="E93" s="60" t="s">
        <v>378</v>
      </c>
      <c r="F93" s="60"/>
      <c r="G93" s="61" t="s">
        <v>3032</v>
      </c>
      <c r="H93" s="63" t="s">
        <v>3033</v>
      </c>
      <c r="I93" s="62">
        <v>46049.0</v>
      </c>
      <c r="J93" s="68"/>
    </row>
    <row r="94" ht="15.75" customHeight="1">
      <c r="A94" s="29" t="str">
        <f t="shared" si="4"/>
        <v>01 - JAN - 26 / 27/01 - TER</v>
      </c>
      <c r="B94" s="55" t="s">
        <v>3034</v>
      </c>
      <c r="C94" s="55" t="s">
        <v>602</v>
      </c>
      <c r="D94" s="56" t="s">
        <v>378</v>
      </c>
      <c r="E94" s="56" t="s">
        <v>378</v>
      </c>
      <c r="F94" s="56"/>
      <c r="G94" s="57" t="s">
        <v>3035</v>
      </c>
      <c r="H94" s="64" t="s">
        <v>3036</v>
      </c>
      <c r="I94" s="58">
        <v>46049.0</v>
      </c>
      <c r="J94" s="68"/>
    </row>
    <row r="95" ht="15.75" customHeight="1">
      <c r="A95" s="29" t="str">
        <f t="shared" si="4"/>
        <v>01 - JAN - 26 / 27/01 - TER</v>
      </c>
      <c r="B95" s="55" t="s">
        <v>3037</v>
      </c>
      <c r="C95" s="55" t="s">
        <v>602</v>
      </c>
      <c r="D95" s="56" t="s">
        <v>378</v>
      </c>
      <c r="E95" s="56" t="s">
        <v>378</v>
      </c>
      <c r="F95" s="56"/>
      <c r="G95" s="57" t="s">
        <v>3038</v>
      </c>
      <c r="H95" s="64" t="s">
        <v>3039</v>
      </c>
      <c r="I95" s="58">
        <v>46049.0</v>
      </c>
      <c r="J95" s="68"/>
    </row>
    <row r="96" ht="15.75" customHeight="1">
      <c r="A96" s="29" t="str">
        <f t="shared" si="4"/>
        <v>01 - JAN - 26 / 27/01 - TER</v>
      </c>
      <c r="B96" s="55" t="s">
        <v>3040</v>
      </c>
      <c r="C96" s="55" t="s">
        <v>602</v>
      </c>
      <c r="D96" s="56" t="s">
        <v>378</v>
      </c>
      <c r="E96" s="56" t="s">
        <v>378</v>
      </c>
      <c r="F96" s="56"/>
      <c r="G96" s="57" t="s">
        <v>3041</v>
      </c>
      <c r="H96" s="64" t="s">
        <v>3042</v>
      </c>
      <c r="I96" s="58">
        <v>46049.0</v>
      </c>
      <c r="J96" s="68"/>
    </row>
    <row r="97" ht="15.75" customHeight="1">
      <c r="A97" s="29" t="str">
        <f t="shared" si="4"/>
        <v>01 - JAN - 26 / 27/01 - TER</v>
      </c>
      <c r="B97" s="55" t="s">
        <v>3043</v>
      </c>
      <c r="C97" s="55" t="s">
        <v>602</v>
      </c>
      <c r="D97" s="56" t="s">
        <v>378</v>
      </c>
      <c r="E97" s="56" t="s">
        <v>378</v>
      </c>
      <c r="F97" s="56"/>
      <c r="G97" s="57" t="s">
        <v>3044</v>
      </c>
      <c r="H97" s="64" t="s">
        <v>3045</v>
      </c>
      <c r="I97" s="58">
        <v>46049.0</v>
      </c>
      <c r="J97" s="68"/>
    </row>
    <row r="98" ht="15.75" customHeight="1">
      <c r="A98" s="29" t="str">
        <f t="shared" si="4"/>
        <v>01 - JAN - 26 / 27/01 - TER</v>
      </c>
      <c r="B98" s="55" t="s">
        <v>3046</v>
      </c>
      <c r="C98" s="55" t="s">
        <v>602</v>
      </c>
      <c r="D98" s="56" t="s">
        <v>378</v>
      </c>
      <c r="E98" s="56" t="s">
        <v>378</v>
      </c>
      <c r="F98" s="56"/>
      <c r="G98" s="57" t="s">
        <v>3047</v>
      </c>
      <c r="H98" s="64" t="s">
        <v>3048</v>
      </c>
      <c r="I98" s="58">
        <v>46049.0</v>
      </c>
      <c r="J98" s="68"/>
    </row>
    <row r="99" ht="15.75" customHeight="1">
      <c r="A99" s="29" t="str">
        <f t="shared" si="4"/>
        <v>01 - JAN - 26 / 27/01 - TER</v>
      </c>
      <c r="B99" s="55" t="s">
        <v>3049</v>
      </c>
      <c r="C99" s="55" t="s">
        <v>86</v>
      </c>
      <c r="D99" s="56" t="s">
        <v>378</v>
      </c>
      <c r="E99" s="56" t="s">
        <v>378</v>
      </c>
      <c r="F99" s="56"/>
      <c r="G99" s="57" t="s">
        <v>3050</v>
      </c>
      <c r="H99" s="64" t="s">
        <v>3051</v>
      </c>
      <c r="I99" s="58">
        <v>46048.0</v>
      </c>
      <c r="J99" s="68"/>
    </row>
    <row r="100" ht="15.75" customHeight="1">
      <c r="A100" s="29" t="str">
        <f t="shared" si="4"/>
        <v>01 - JAN - 26 / 27/01 - TER</v>
      </c>
      <c r="B100" s="55" t="s">
        <v>3052</v>
      </c>
      <c r="C100" s="55" t="s">
        <v>86</v>
      </c>
      <c r="D100" s="56" t="s">
        <v>378</v>
      </c>
      <c r="E100" s="56" t="s">
        <v>378</v>
      </c>
      <c r="F100" s="56"/>
      <c r="G100" s="57" t="s">
        <v>3053</v>
      </c>
      <c r="H100" s="64" t="s">
        <v>3054</v>
      </c>
      <c r="I100" s="58">
        <v>46048.0</v>
      </c>
      <c r="J100" s="68"/>
    </row>
    <row r="101" ht="15.75" customHeight="1">
      <c r="A101" s="29" t="str">
        <f t="shared" si="4"/>
        <v>01 - JAN - 26 / 27/01 - TER</v>
      </c>
      <c r="B101" s="55" t="s">
        <v>3055</v>
      </c>
      <c r="C101" s="55" t="s">
        <v>86</v>
      </c>
      <c r="D101" s="56" t="s">
        <v>378</v>
      </c>
      <c r="E101" s="56" t="s">
        <v>378</v>
      </c>
      <c r="F101" s="56"/>
      <c r="G101" s="57" t="s">
        <v>3056</v>
      </c>
      <c r="H101" s="64" t="s">
        <v>3057</v>
      </c>
      <c r="I101" s="58">
        <v>46048.0</v>
      </c>
      <c r="J101" s="68"/>
    </row>
    <row r="102" ht="15.75" customHeight="1">
      <c r="A102" s="29" t="str">
        <f t="shared" si="4"/>
        <v>01 - JAN - 26 / 27/01 - TER</v>
      </c>
      <c r="B102" s="55" t="s">
        <v>3058</v>
      </c>
      <c r="C102" s="55" t="s">
        <v>86</v>
      </c>
      <c r="D102" s="56" t="s">
        <v>378</v>
      </c>
      <c r="E102" s="56" t="s">
        <v>378</v>
      </c>
      <c r="F102" s="56"/>
      <c r="G102" s="57" t="s">
        <v>3059</v>
      </c>
      <c r="H102" s="64" t="s">
        <v>3060</v>
      </c>
      <c r="I102" s="58">
        <v>46048.0</v>
      </c>
      <c r="J102" s="68"/>
    </row>
    <row r="103" ht="15.75" customHeight="1">
      <c r="A103" s="37" t="str">
        <f t="shared" ref="A103:A112" si="5">HYPERLINK("https://drive.google.com/drive/folders/1S_O1nE4HKga7YOYvAsSzPHcSgywh0ozW", "01 - JAN - 26 / 26/01 - SEG")</f>
        <v>01 - JAN - 26 / 26/01 - SEG</v>
      </c>
      <c r="B103" s="59" t="s">
        <v>3061</v>
      </c>
      <c r="C103" s="59" t="s">
        <v>86</v>
      </c>
      <c r="D103" s="60" t="s">
        <v>378</v>
      </c>
      <c r="E103" s="60" t="s">
        <v>378</v>
      </c>
      <c r="F103" s="60"/>
      <c r="G103" s="61" t="s">
        <v>3062</v>
      </c>
      <c r="H103" s="63" t="s">
        <v>3063</v>
      </c>
      <c r="I103" s="62">
        <v>46048.0</v>
      </c>
      <c r="J103" s="68"/>
    </row>
    <row r="104" ht="15.75" customHeight="1">
      <c r="A104" s="29" t="str">
        <f t="shared" si="5"/>
        <v>01 - JAN - 26 / 26/01 - SEG</v>
      </c>
      <c r="B104" s="55" t="s">
        <v>3064</v>
      </c>
      <c r="C104" s="55" t="s">
        <v>86</v>
      </c>
      <c r="D104" s="56" t="s">
        <v>378</v>
      </c>
      <c r="E104" s="56" t="s">
        <v>378</v>
      </c>
      <c r="F104" s="56"/>
      <c r="G104" s="57" t="s">
        <v>3065</v>
      </c>
      <c r="H104" s="64" t="s">
        <v>3066</v>
      </c>
      <c r="I104" s="58">
        <v>46048.0</v>
      </c>
      <c r="J104" s="68"/>
    </row>
    <row r="105" ht="15.75" customHeight="1">
      <c r="A105" s="29" t="str">
        <f t="shared" si="5"/>
        <v>01 - JAN - 26 / 26/01 - SEG</v>
      </c>
      <c r="B105" s="55" t="s">
        <v>3067</v>
      </c>
      <c r="C105" s="55" t="s">
        <v>602</v>
      </c>
      <c r="D105" s="56" t="s">
        <v>378</v>
      </c>
      <c r="E105" s="56" t="s">
        <v>378</v>
      </c>
      <c r="F105" s="56"/>
      <c r="G105" s="57" t="s">
        <v>3068</v>
      </c>
      <c r="H105" s="64" t="s">
        <v>3069</v>
      </c>
      <c r="I105" s="58">
        <v>46048.0</v>
      </c>
      <c r="J105" s="68"/>
    </row>
    <row r="106" ht="15.75" customHeight="1">
      <c r="A106" s="29" t="str">
        <f t="shared" si="5"/>
        <v>01 - JAN - 26 / 26/01 - SEG</v>
      </c>
      <c r="B106" s="55" t="s">
        <v>3070</v>
      </c>
      <c r="C106" s="55" t="s">
        <v>602</v>
      </c>
      <c r="D106" s="56" t="s">
        <v>378</v>
      </c>
      <c r="E106" s="56" t="s">
        <v>378</v>
      </c>
      <c r="F106" s="56"/>
      <c r="G106" s="57" t="s">
        <v>3071</v>
      </c>
      <c r="H106" s="64" t="s">
        <v>3072</v>
      </c>
      <c r="I106" s="58">
        <v>46048.0</v>
      </c>
      <c r="J106" s="68"/>
    </row>
    <row r="107" ht="15.75" customHeight="1">
      <c r="A107" s="29" t="str">
        <f t="shared" si="5"/>
        <v>01 - JAN - 26 / 26/01 - SEG</v>
      </c>
      <c r="B107" s="55" t="s">
        <v>3073</v>
      </c>
      <c r="C107" s="55" t="s">
        <v>602</v>
      </c>
      <c r="D107" s="56" t="s">
        <v>378</v>
      </c>
      <c r="E107" s="56" t="s">
        <v>378</v>
      </c>
      <c r="F107" s="56"/>
      <c r="G107" s="57" t="s">
        <v>3074</v>
      </c>
      <c r="H107" s="64" t="s">
        <v>3075</v>
      </c>
      <c r="I107" s="58">
        <v>46048.0</v>
      </c>
      <c r="J107" s="68"/>
    </row>
    <row r="108" ht="15.75" customHeight="1">
      <c r="A108" s="29" t="str">
        <f t="shared" si="5"/>
        <v>01 - JAN - 26 / 26/01 - SEG</v>
      </c>
      <c r="B108" s="55" t="s">
        <v>3076</v>
      </c>
      <c r="C108" s="55" t="s">
        <v>602</v>
      </c>
      <c r="D108" s="56" t="s">
        <v>378</v>
      </c>
      <c r="E108" s="56" t="s">
        <v>378</v>
      </c>
      <c r="F108" s="56"/>
      <c r="G108" s="57" t="s">
        <v>3077</v>
      </c>
      <c r="H108" s="64" t="s">
        <v>3078</v>
      </c>
      <c r="I108" s="58">
        <v>46048.0</v>
      </c>
      <c r="J108" s="68"/>
    </row>
    <row r="109" ht="15.75" customHeight="1">
      <c r="A109" s="29" t="str">
        <f t="shared" si="5"/>
        <v>01 - JAN - 26 / 26/01 - SEG</v>
      </c>
      <c r="B109" s="55" t="s">
        <v>3079</v>
      </c>
      <c r="C109" s="55" t="s">
        <v>602</v>
      </c>
      <c r="D109" s="56" t="s">
        <v>378</v>
      </c>
      <c r="E109" s="56" t="s">
        <v>378</v>
      </c>
      <c r="F109" s="56"/>
      <c r="G109" s="57" t="s">
        <v>3080</v>
      </c>
      <c r="H109" s="64" t="s">
        <v>3081</v>
      </c>
      <c r="I109" s="58">
        <v>46048.0</v>
      </c>
      <c r="J109" s="68"/>
    </row>
    <row r="110" ht="15.75" customHeight="1">
      <c r="A110" s="29" t="str">
        <f t="shared" si="5"/>
        <v>01 - JAN - 26 / 26/01 - SEG</v>
      </c>
      <c r="B110" s="55" t="s">
        <v>3082</v>
      </c>
      <c r="C110" s="55" t="s">
        <v>602</v>
      </c>
      <c r="D110" s="56" t="s">
        <v>378</v>
      </c>
      <c r="E110" s="56" t="s">
        <v>378</v>
      </c>
      <c r="F110" s="56"/>
      <c r="G110" s="57" t="s">
        <v>3083</v>
      </c>
      <c r="H110" s="64" t="s">
        <v>3084</v>
      </c>
      <c r="I110" s="58">
        <v>46048.0</v>
      </c>
      <c r="J110" s="68"/>
    </row>
    <row r="111" ht="15.75" customHeight="1">
      <c r="A111" s="29" t="str">
        <f t="shared" si="5"/>
        <v>01 - JAN - 26 / 26/01 - SEG</v>
      </c>
      <c r="B111" s="55" t="s">
        <v>3085</v>
      </c>
      <c r="C111" s="55" t="s">
        <v>602</v>
      </c>
      <c r="D111" s="56" t="s">
        <v>378</v>
      </c>
      <c r="E111" s="56" t="s">
        <v>378</v>
      </c>
      <c r="F111" s="56"/>
      <c r="G111" s="57" t="s">
        <v>3086</v>
      </c>
      <c r="H111" s="64" t="s">
        <v>3087</v>
      </c>
      <c r="I111" s="58">
        <v>46048.0</v>
      </c>
      <c r="J111" s="68"/>
    </row>
    <row r="112" ht="15.75" customHeight="1">
      <c r="A112" s="29" t="str">
        <f t="shared" si="5"/>
        <v>01 - JAN - 26 / 26/01 - SEG</v>
      </c>
      <c r="B112" s="55" t="s">
        <v>3088</v>
      </c>
      <c r="C112" s="55" t="s">
        <v>602</v>
      </c>
      <c r="D112" s="56" t="s">
        <v>378</v>
      </c>
      <c r="E112" s="56" t="s">
        <v>378</v>
      </c>
      <c r="F112" s="56"/>
      <c r="G112" s="57" t="s">
        <v>3089</v>
      </c>
      <c r="H112" s="64" t="s">
        <v>3090</v>
      </c>
      <c r="I112" s="58">
        <v>46048.0</v>
      </c>
      <c r="J112" s="68"/>
    </row>
    <row r="113" ht="15.75" customHeight="1">
      <c r="A113" s="37" t="str">
        <f t="shared" ref="A113:A122" si="6">HYPERLINK("https://drive.google.com/drive/folders/1NMn0pcF3lfcvvX9es1NJDCth8V3XUTFp", "01 - JAN - 26 / 23/01 - SEX")</f>
        <v>01 - JAN - 26 / 23/01 - SEX</v>
      </c>
      <c r="B113" s="59" t="s">
        <v>3091</v>
      </c>
      <c r="C113" s="59" t="s">
        <v>602</v>
      </c>
      <c r="D113" s="60" t="s">
        <v>378</v>
      </c>
      <c r="E113" s="60" t="s">
        <v>378</v>
      </c>
      <c r="F113" s="60"/>
      <c r="G113" s="61" t="s">
        <v>3092</v>
      </c>
      <c r="H113" s="63" t="s">
        <v>3093</v>
      </c>
      <c r="I113" s="62">
        <v>46048.0</v>
      </c>
      <c r="J113" s="68"/>
    </row>
    <row r="114" ht="15.75" customHeight="1">
      <c r="A114" s="29" t="str">
        <f t="shared" si="6"/>
        <v>01 - JAN - 26 / 23/01 - SEX</v>
      </c>
      <c r="B114" s="55" t="s">
        <v>3094</v>
      </c>
      <c r="C114" s="55" t="s">
        <v>602</v>
      </c>
      <c r="D114" s="56" t="s">
        <v>378</v>
      </c>
      <c r="E114" s="56" t="s">
        <v>378</v>
      </c>
      <c r="F114" s="56"/>
      <c r="G114" s="57" t="s">
        <v>3095</v>
      </c>
      <c r="H114" s="64" t="s">
        <v>3096</v>
      </c>
      <c r="I114" s="58">
        <v>46048.0</v>
      </c>
      <c r="J114" s="68"/>
    </row>
    <row r="115" ht="15.75" customHeight="1">
      <c r="A115" s="29" t="str">
        <f t="shared" si="6"/>
        <v>01 - JAN - 26 / 23/01 - SEX</v>
      </c>
      <c r="B115" s="55" t="s">
        <v>3097</v>
      </c>
      <c r="C115" s="55" t="s">
        <v>602</v>
      </c>
      <c r="D115" s="56" t="s">
        <v>378</v>
      </c>
      <c r="E115" s="56" t="s">
        <v>378</v>
      </c>
      <c r="F115" s="56"/>
      <c r="G115" s="57" t="s">
        <v>3098</v>
      </c>
      <c r="H115" s="64" t="s">
        <v>3099</v>
      </c>
      <c r="I115" s="58">
        <v>46048.0</v>
      </c>
      <c r="J115" s="68"/>
    </row>
    <row r="116" ht="15.75" customHeight="1">
      <c r="A116" s="29" t="str">
        <f t="shared" si="6"/>
        <v>01 - JAN - 26 / 23/01 - SEX</v>
      </c>
      <c r="B116" s="55" t="s">
        <v>3100</v>
      </c>
      <c r="C116" s="55" t="s">
        <v>602</v>
      </c>
      <c r="D116" s="56" t="s">
        <v>378</v>
      </c>
      <c r="E116" s="56" t="s">
        <v>378</v>
      </c>
      <c r="F116" s="56"/>
      <c r="G116" s="57" t="s">
        <v>3101</v>
      </c>
      <c r="H116" s="64" t="s">
        <v>3102</v>
      </c>
      <c r="I116" s="58">
        <v>46045.0</v>
      </c>
      <c r="J116" s="68"/>
    </row>
    <row r="117" ht="15.75" customHeight="1">
      <c r="A117" s="29" t="str">
        <f t="shared" si="6"/>
        <v>01 - JAN - 26 / 23/01 - SEX</v>
      </c>
      <c r="B117" s="55" t="s">
        <v>3103</v>
      </c>
      <c r="C117" s="55" t="s">
        <v>602</v>
      </c>
      <c r="D117" s="56" t="s">
        <v>378</v>
      </c>
      <c r="E117" s="56" t="s">
        <v>378</v>
      </c>
      <c r="F117" s="56"/>
      <c r="G117" s="57" t="s">
        <v>3104</v>
      </c>
      <c r="H117" s="64" t="s">
        <v>3105</v>
      </c>
      <c r="I117" s="58">
        <v>46045.0</v>
      </c>
      <c r="J117" s="68"/>
    </row>
    <row r="118" ht="15.75" customHeight="1">
      <c r="A118" s="29" t="str">
        <f t="shared" si="6"/>
        <v>01 - JAN - 26 / 23/01 - SEX</v>
      </c>
      <c r="B118" s="55" t="s">
        <v>3106</v>
      </c>
      <c r="C118" s="55" t="s">
        <v>602</v>
      </c>
      <c r="D118" s="56" t="s">
        <v>378</v>
      </c>
      <c r="E118" s="56" t="s">
        <v>378</v>
      </c>
      <c r="F118" s="56"/>
      <c r="G118" s="57" t="s">
        <v>3107</v>
      </c>
      <c r="H118" s="64" t="s">
        <v>3108</v>
      </c>
      <c r="I118" s="58">
        <v>46045.0</v>
      </c>
      <c r="J118" s="68"/>
    </row>
    <row r="119" ht="15.75" customHeight="1">
      <c r="A119" s="29" t="str">
        <f t="shared" si="6"/>
        <v>01 - JAN - 26 / 23/01 - SEX</v>
      </c>
      <c r="B119" s="55" t="s">
        <v>3109</v>
      </c>
      <c r="C119" s="55" t="s">
        <v>602</v>
      </c>
      <c r="D119" s="56" t="s">
        <v>378</v>
      </c>
      <c r="E119" s="56" t="s">
        <v>378</v>
      </c>
      <c r="F119" s="56"/>
      <c r="G119" s="57" t="s">
        <v>3110</v>
      </c>
      <c r="H119" s="64" t="s">
        <v>3111</v>
      </c>
      <c r="I119" s="58">
        <v>46045.0</v>
      </c>
      <c r="J119" s="68"/>
    </row>
    <row r="120" ht="15.75" customHeight="1">
      <c r="A120" s="29" t="str">
        <f t="shared" si="6"/>
        <v>01 - JAN - 26 / 23/01 - SEX</v>
      </c>
      <c r="B120" s="55" t="s">
        <v>3112</v>
      </c>
      <c r="C120" s="55" t="s">
        <v>602</v>
      </c>
      <c r="D120" s="56" t="s">
        <v>378</v>
      </c>
      <c r="E120" s="56" t="s">
        <v>378</v>
      </c>
      <c r="F120" s="56"/>
      <c r="G120" s="57" t="s">
        <v>3113</v>
      </c>
      <c r="H120" s="64" t="s">
        <v>3114</v>
      </c>
      <c r="I120" s="58">
        <v>46045.0</v>
      </c>
      <c r="J120" s="68"/>
    </row>
    <row r="121" ht="15.75" customHeight="1">
      <c r="A121" s="29" t="str">
        <f t="shared" si="6"/>
        <v>01 - JAN - 26 / 23/01 - SEX</v>
      </c>
      <c r="B121" s="55" t="s">
        <v>3115</v>
      </c>
      <c r="C121" s="55" t="s">
        <v>602</v>
      </c>
      <c r="D121" s="56" t="s">
        <v>378</v>
      </c>
      <c r="E121" s="56" t="s">
        <v>378</v>
      </c>
      <c r="F121" s="56"/>
      <c r="G121" s="57" t="s">
        <v>3116</v>
      </c>
      <c r="H121" s="64" t="s">
        <v>3117</v>
      </c>
      <c r="I121" s="58">
        <v>46045.0</v>
      </c>
      <c r="J121" s="68"/>
    </row>
    <row r="122" ht="15.75" customHeight="1">
      <c r="A122" s="29" t="str">
        <f t="shared" si="6"/>
        <v>01 - JAN - 26 / 23/01 - SEX</v>
      </c>
      <c r="B122" s="55" t="s">
        <v>3118</v>
      </c>
      <c r="C122" s="55" t="s">
        <v>602</v>
      </c>
      <c r="D122" s="56" t="s">
        <v>378</v>
      </c>
      <c r="E122" s="56" t="s">
        <v>378</v>
      </c>
      <c r="F122" s="56"/>
      <c r="G122" s="57" t="s">
        <v>3119</v>
      </c>
      <c r="H122" s="64" t="s">
        <v>3120</v>
      </c>
      <c r="I122" s="58">
        <v>46045.0</v>
      </c>
      <c r="J122" s="68"/>
    </row>
    <row r="123" ht="15.75" customHeight="1">
      <c r="A123" s="37" t="str">
        <f t="shared" ref="A123:A132" si="7">HYPERLINK("https://drive.google.com/drive/folders/12HzpBi08Ja5SvfeZ1x6GArBq1IMxKsKW", "01 - JAN - 26 / 22/01 - QUI")</f>
        <v>01 - JAN - 26 / 22/01 - QUI</v>
      </c>
      <c r="B123" s="59" t="s">
        <v>3121</v>
      </c>
      <c r="C123" s="59" t="s">
        <v>86</v>
      </c>
      <c r="D123" s="60" t="s">
        <v>378</v>
      </c>
      <c r="E123" s="60" t="s">
        <v>378</v>
      </c>
      <c r="F123" s="60"/>
      <c r="G123" s="61" t="s">
        <v>3122</v>
      </c>
      <c r="H123" s="63" t="s">
        <v>3123</v>
      </c>
      <c r="I123" s="62">
        <v>46044.0</v>
      </c>
      <c r="J123" s="68"/>
    </row>
    <row r="124" ht="15.75" customHeight="1">
      <c r="A124" s="29" t="str">
        <f t="shared" si="7"/>
        <v>01 - JAN - 26 / 22/01 - QUI</v>
      </c>
      <c r="B124" s="55" t="s">
        <v>3124</v>
      </c>
      <c r="C124" s="55" t="s">
        <v>86</v>
      </c>
      <c r="D124" s="56" t="s">
        <v>378</v>
      </c>
      <c r="E124" s="56" t="s">
        <v>378</v>
      </c>
      <c r="F124" s="56"/>
      <c r="G124" s="57" t="s">
        <v>3125</v>
      </c>
      <c r="H124" s="64" t="s">
        <v>3126</v>
      </c>
      <c r="I124" s="58">
        <v>46044.0</v>
      </c>
      <c r="J124" s="68"/>
    </row>
    <row r="125" ht="15.75" customHeight="1">
      <c r="A125" s="29" t="str">
        <f t="shared" si="7"/>
        <v>01 - JAN - 26 / 22/01 - QUI</v>
      </c>
      <c r="B125" s="55" t="s">
        <v>3127</v>
      </c>
      <c r="C125" s="55" t="s">
        <v>86</v>
      </c>
      <c r="D125" s="56" t="s">
        <v>378</v>
      </c>
      <c r="E125" s="56" t="s">
        <v>378</v>
      </c>
      <c r="F125" s="56"/>
      <c r="G125" s="57" t="s">
        <v>3128</v>
      </c>
      <c r="H125" s="64" t="s">
        <v>3129</v>
      </c>
      <c r="I125" s="58">
        <v>46044.0</v>
      </c>
      <c r="J125" s="68"/>
    </row>
    <row r="126" ht="15.75" customHeight="1">
      <c r="A126" s="29" t="str">
        <f t="shared" si="7"/>
        <v>01 - JAN - 26 / 22/01 - QUI</v>
      </c>
      <c r="B126" s="55" t="s">
        <v>3130</v>
      </c>
      <c r="C126" s="55" t="s">
        <v>86</v>
      </c>
      <c r="D126" s="56" t="s">
        <v>378</v>
      </c>
      <c r="E126" s="56" t="s">
        <v>378</v>
      </c>
      <c r="F126" s="56"/>
      <c r="G126" s="57" t="s">
        <v>3131</v>
      </c>
      <c r="H126" s="64" t="s">
        <v>3132</v>
      </c>
      <c r="I126" s="58">
        <v>46044.0</v>
      </c>
      <c r="J126" s="68"/>
    </row>
    <row r="127" ht="15.75" customHeight="1">
      <c r="A127" s="29" t="str">
        <f t="shared" si="7"/>
        <v>01 - JAN - 26 / 22/01 - QUI</v>
      </c>
      <c r="B127" s="55" t="s">
        <v>3133</v>
      </c>
      <c r="C127" s="55" t="s">
        <v>86</v>
      </c>
      <c r="D127" s="56" t="s">
        <v>378</v>
      </c>
      <c r="E127" s="56" t="s">
        <v>378</v>
      </c>
      <c r="F127" s="56"/>
      <c r="G127" s="57" t="s">
        <v>3134</v>
      </c>
      <c r="H127" s="64" t="s">
        <v>3135</v>
      </c>
      <c r="I127" s="58">
        <v>46044.0</v>
      </c>
      <c r="J127" s="68"/>
    </row>
    <row r="128" ht="15.75" customHeight="1">
      <c r="A128" s="29" t="str">
        <f t="shared" si="7"/>
        <v>01 - JAN - 26 / 22/01 - QUI</v>
      </c>
      <c r="B128" s="55" t="s">
        <v>3136</v>
      </c>
      <c r="C128" s="55" t="s">
        <v>86</v>
      </c>
      <c r="D128" s="56" t="s">
        <v>378</v>
      </c>
      <c r="E128" s="56" t="s">
        <v>378</v>
      </c>
      <c r="F128" s="56"/>
      <c r="G128" s="57" t="s">
        <v>3137</v>
      </c>
      <c r="H128" s="64" t="s">
        <v>3138</v>
      </c>
      <c r="I128" s="58">
        <v>46044.0</v>
      </c>
      <c r="J128" s="68"/>
    </row>
    <row r="129" ht="15.75" customHeight="1">
      <c r="A129" s="29" t="str">
        <f t="shared" si="7"/>
        <v>01 - JAN - 26 / 22/01 - QUI</v>
      </c>
      <c r="B129" s="55" t="s">
        <v>3139</v>
      </c>
      <c r="C129" s="55" t="s">
        <v>602</v>
      </c>
      <c r="D129" s="56" t="s">
        <v>378</v>
      </c>
      <c r="E129" s="56" t="s">
        <v>378</v>
      </c>
      <c r="F129" s="56"/>
      <c r="G129" s="57" t="s">
        <v>3140</v>
      </c>
      <c r="H129" s="64" t="s">
        <v>3141</v>
      </c>
      <c r="I129" s="58">
        <v>46044.0</v>
      </c>
      <c r="J129" s="68"/>
    </row>
    <row r="130" ht="15.75" customHeight="1">
      <c r="A130" s="29" t="str">
        <f t="shared" si="7"/>
        <v>01 - JAN - 26 / 22/01 - QUI</v>
      </c>
      <c r="B130" s="55" t="s">
        <v>3142</v>
      </c>
      <c r="C130" s="55" t="s">
        <v>602</v>
      </c>
      <c r="D130" s="56" t="s">
        <v>378</v>
      </c>
      <c r="E130" s="56" t="s">
        <v>378</v>
      </c>
      <c r="F130" s="56"/>
      <c r="G130" s="57" t="s">
        <v>3143</v>
      </c>
      <c r="H130" s="64" t="s">
        <v>3144</v>
      </c>
      <c r="I130" s="58">
        <v>46044.0</v>
      </c>
      <c r="J130" s="68"/>
    </row>
    <row r="131" ht="15.75" customHeight="1">
      <c r="A131" s="29" t="str">
        <f t="shared" si="7"/>
        <v>01 - JAN - 26 / 22/01 - QUI</v>
      </c>
      <c r="B131" s="55" t="s">
        <v>3145</v>
      </c>
      <c r="C131" s="55" t="s">
        <v>602</v>
      </c>
      <c r="D131" s="56" t="s">
        <v>378</v>
      </c>
      <c r="E131" s="56" t="s">
        <v>378</v>
      </c>
      <c r="F131" s="56"/>
      <c r="G131" s="57" t="s">
        <v>3146</v>
      </c>
      <c r="H131" s="64" t="s">
        <v>3147</v>
      </c>
      <c r="I131" s="58">
        <v>46044.0</v>
      </c>
      <c r="J131" s="68"/>
    </row>
    <row r="132" ht="15.75" customHeight="1">
      <c r="A132" s="29" t="str">
        <f t="shared" si="7"/>
        <v>01 - JAN - 26 / 22/01 - QUI</v>
      </c>
      <c r="B132" s="55" t="s">
        <v>3148</v>
      </c>
      <c r="C132" s="55" t="s">
        <v>602</v>
      </c>
      <c r="D132" s="56" t="s">
        <v>378</v>
      </c>
      <c r="E132" s="56" t="s">
        <v>378</v>
      </c>
      <c r="F132" s="56"/>
      <c r="G132" s="57" t="s">
        <v>3149</v>
      </c>
      <c r="H132" s="64" t="s">
        <v>3150</v>
      </c>
      <c r="I132" s="58">
        <v>46044.0</v>
      </c>
      <c r="J132" s="68"/>
    </row>
    <row r="133" ht="15.75" customHeight="1">
      <c r="A133" s="37" t="str">
        <f t="shared" ref="A133:A142" si="8">HYPERLINK("https://drive.google.com/drive/folders/1tDb4Ucq1n3HZw8JfVdUSbqFKP7CZZZdZ", "01 - JAN - 26 / 21/01- QUA")</f>
        <v>01 - JAN - 26 / 21/01- QUA</v>
      </c>
      <c r="B133" s="59" t="s">
        <v>3151</v>
      </c>
      <c r="C133" s="59" t="s">
        <v>2729</v>
      </c>
      <c r="D133" s="60" t="s">
        <v>378</v>
      </c>
      <c r="E133" s="60" t="s">
        <v>378</v>
      </c>
      <c r="F133" s="60"/>
      <c r="G133" s="61" t="s">
        <v>3152</v>
      </c>
      <c r="H133" s="63" t="s">
        <v>3153</v>
      </c>
      <c r="I133" s="62">
        <v>46044.0</v>
      </c>
      <c r="J133" s="68"/>
    </row>
    <row r="134" ht="15.75" customHeight="1">
      <c r="A134" s="29" t="str">
        <f t="shared" si="8"/>
        <v>01 - JAN - 26 / 21/01- QUA</v>
      </c>
      <c r="B134" s="55" t="s">
        <v>3154</v>
      </c>
      <c r="C134" s="55" t="s">
        <v>2729</v>
      </c>
      <c r="D134" s="56" t="s">
        <v>378</v>
      </c>
      <c r="E134" s="56" t="s">
        <v>378</v>
      </c>
      <c r="F134" s="56"/>
      <c r="G134" s="57" t="s">
        <v>3155</v>
      </c>
      <c r="H134" s="64" t="s">
        <v>3156</v>
      </c>
      <c r="I134" s="58">
        <v>46044.0</v>
      </c>
      <c r="J134" s="68"/>
    </row>
    <row r="135" ht="15.75" customHeight="1">
      <c r="A135" s="29" t="str">
        <f t="shared" si="8"/>
        <v>01 - JAN - 26 / 21/01- QUA</v>
      </c>
      <c r="B135" s="55" t="s">
        <v>3157</v>
      </c>
      <c r="C135" s="55" t="s">
        <v>2729</v>
      </c>
      <c r="D135" s="56" t="s">
        <v>378</v>
      </c>
      <c r="E135" s="56" t="s">
        <v>378</v>
      </c>
      <c r="F135" s="56"/>
      <c r="G135" s="57" t="s">
        <v>3158</v>
      </c>
      <c r="H135" s="64" t="s">
        <v>3159</v>
      </c>
      <c r="I135" s="58">
        <v>46044.0</v>
      </c>
      <c r="J135" s="68"/>
    </row>
    <row r="136" ht="15.75" customHeight="1">
      <c r="A136" s="29" t="str">
        <f t="shared" si="8"/>
        <v>01 - JAN - 26 / 21/01- QUA</v>
      </c>
      <c r="B136" s="55" t="s">
        <v>3160</v>
      </c>
      <c r="C136" s="55" t="s">
        <v>2729</v>
      </c>
      <c r="D136" s="56" t="s">
        <v>378</v>
      </c>
      <c r="E136" s="56" t="s">
        <v>378</v>
      </c>
      <c r="F136" s="56"/>
      <c r="G136" s="57" t="s">
        <v>3161</v>
      </c>
      <c r="H136" s="64" t="s">
        <v>3162</v>
      </c>
      <c r="I136" s="58">
        <v>46044.0</v>
      </c>
      <c r="J136" s="68"/>
    </row>
    <row r="137" ht="15.75" customHeight="1">
      <c r="A137" s="29" t="str">
        <f t="shared" si="8"/>
        <v>01 - JAN - 26 / 21/01- QUA</v>
      </c>
      <c r="B137" s="55" t="s">
        <v>3163</v>
      </c>
      <c r="C137" s="55" t="s">
        <v>2729</v>
      </c>
      <c r="D137" s="56" t="s">
        <v>378</v>
      </c>
      <c r="E137" s="56" t="s">
        <v>378</v>
      </c>
      <c r="F137" s="56"/>
      <c r="G137" s="57" t="s">
        <v>3164</v>
      </c>
      <c r="H137" s="64" t="s">
        <v>3165</v>
      </c>
      <c r="I137" s="58">
        <v>46044.0</v>
      </c>
      <c r="J137" s="68"/>
    </row>
    <row r="138" ht="15.75" customHeight="1">
      <c r="A138" s="29" t="str">
        <f t="shared" si="8"/>
        <v>01 - JAN - 26 / 21/01- QUA</v>
      </c>
      <c r="B138" s="55" t="s">
        <v>3166</v>
      </c>
      <c r="C138" s="55" t="s">
        <v>32</v>
      </c>
      <c r="D138" s="56" t="s">
        <v>378</v>
      </c>
      <c r="E138" s="56" t="s">
        <v>378</v>
      </c>
      <c r="F138" s="56"/>
      <c r="G138" s="57" t="s">
        <v>3167</v>
      </c>
      <c r="H138" s="64" t="s">
        <v>3168</v>
      </c>
      <c r="I138" s="58">
        <v>46042.0</v>
      </c>
      <c r="J138" s="68"/>
    </row>
    <row r="139" ht="15.75" customHeight="1">
      <c r="A139" s="29" t="str">
        <f t="shared" si="8"/>
        <v>01 - JAN - 26 / 21/01- QUA</v>
      </c>
      <c r="B139" s="55" t="s">
        <v>3169</v>
      </c>
      <c r="C139" s="55" t="s">
        <v>32</v>
      </c>
      <c r="D139" s="56" t="s">
        <v>378</v>
      </c>
      <c r="E139" s="56" t="s">
        <v>378</v>
      </c>
      <c r="F139" s="56"/>
      <c r="G139" s="57" t="s">
        <v>3170</v>
      </c>
      <c r="H139" s="64" t="s">
        <v>3171</v>
      </c>
      <c r="I139" s="58">
        <v>46042.0</v>
      </c>
      <c r="J139" s="68"/>
    </row>
    <row r="140" ht="15.75" customHeight="1">
      <c r="A140" s="29" t="str">
        <f t="shared" si="8"/>
        <v>01 - JAN - 26 / 21/01- QUA</v>
      </c>
      <c r="B140" s="55" t="s">
        <v>3172</v>
      </c>
      <c r="C140" s="55" t="s">
        <v>32</v>
      </c>
      <c r="D140" s="56" t="s">
        <v>378</v>
      </c>
      <c r="E140" s="56" t="s">
        <v>378</v>
      </c>
      <c r="F140" s="56"/>
      <c r="G140" s="57" t="s">
        <v>3173</v>
      </c>
      <c r="H140" s="64" t="s">
        <v>3174</v>
      </c>
      <c r="I140" s="58">
        <v>46042.0</v>
      </c>
      <c r="J140" s="68"/>
    </row>
    <row r="141" ht="15.75" customHeight="1">
      <c r="A141" s="29" t="str">
        <f t="shared" si="8"/>
        <v>01 - JAN - 26 / 21/01- QUA</v>
      </c>
      <c r="B141" s="55" t="s">
        <v>3175</v>
      </c>
      <c r="C141" s="55" t="s">
        <v>32</v>
      </c>
      <c r="D141" s="56" t="s">
        <v>378</v>
      </c>
      <c r="E141" s="56" t="s">
        <v>378</v>
      </c>
      <c r="F141" s="56"/>
      <c r="G141" s="57" t="s">
        <v>3176</v>
      </c>
      <c r="H141" s="64" t="s">
        <v>3177</v>
      </c>
      <c r="I141" s="58">
        <v>46042.0</v>
      </c>
      <c r="J141" s="68"/>
    </row>
    <row r="142" ht="15.75" customHeight="1">
      <c r="A142" s="29" t="str">
        <f t="shared" si="8"/>
        <v>01 - JAN - 26 / 21/01- QUA</v>
      </c>
      <c r="B142" s="55" t="s">
        <v>3178</v>
      </c>
      <c r="C142" s="55" t="s">
        <v>32</v>
      </c>
      <c r="D142" s="56" t="s">
        <v>378</v>
      </c>
      <c r="E142" s="56" t="s">
        <v>378</v>
      </c>
      <c r="F142" s="56"/>
      <c r="G142" s="57" t="s">
        <v>3179</v>
      </c>
      <c r="H142" s="64" t="s">
        <v>3180</v>
      </c>
      <c r="I142" s="58">
        <v>46042.0</v>
      </c>
      <c r="J142" s="68"/>
    </row>
    <row r="143" ht="15.75" customHeight="1">
      <c r="A143" s="37" t="str">
        <f t="shared" ref="A143:A152" si="9">HYPERLINK("https://drive.google.com/drive/folders/1ONTOGAV7KtkuTbi99h71l3NYPXfTzffp", "01 - JAN - 26 / 20/01 - TER")</f>
        <v>01 - JAN - 26 / 20/01 - TER</v>
      </c>
      <c r="B143" s="59" t="s">
        <v>3181</v>
      </c>
      <c r="C143" s="59" t="s">
        <v>602</v>
      </c>
      <c r="D143" s="60" t="s">
        <v>378</v>
      </c>
      <c r="E143" s="60" t="s">
        <v>378</v>
      </c>
      <c r="F143" s="60"/>
      <c r="G143" s="61" t="s">
        <v>3182</v>
      </c>
      <c r="H143" s="63" t="s">
        <v>3183</v>
      </c>
      <c r="I143" s="62">
        <v>46043.0</v>
      </c>
      <c r="J143" s="68"/>
    </row>
    <row r="144" ht="15.75" customHeight="1">
      <c r="A144" s="29" t="str">
        <f t="shared" si="9"/>
        <v>01 - JAN - 26 / 20/01 - TER</v>
      </c>
      <c r="B144" s="55" t="s">
        <v>3184</v>
      </c>
      <c r="C144" s="55" t="s">
        <v>32</v>
      </c>
      <c r="D144" s="56" t="s">
        <v>378</v>
      </c>
      <c r="E144" s="56" t="s">
        <v>378</v>
      </c>
      <c r="F144" s="56"/>
      <c r="G144" s="57" t="s">
        <v>3185</v>
      </c>
      <c r="H144" s="64" t="s">
        <v>3186</v>
      </c>
      <c r="I144" s="58">
        <v>46042.0</v>
      </c>
      <c r="J144" s="68"/>
    </row>
    <row r="145" ht="15.75" customHeight="1">
      <c r="A145" s="29" t="str">
        <f t="shared" si="9"/>
        <v>01 - JAN - 26 / 20/01 - TER</v>
      </c>
      <c r="B145" s="55" t="s">
        <v>3187</v>
      </c>
      <c r="C145" s="55" t="s">
        <v>32</v>
      </c>
      <c r="D145" s="56" t="s">
        <v>378</v>
      </c>
      <c r="E145" s="56" t="s">
        <v>378</v>
      </c>
      <c r="F145" s="56"/>
      <c r="G145" s="57" t="s">
        <v>3188</v>
      </c>
      <c r="H145" s="64" t="s">
        <v>3189</v>
      </c>
      <c r="I145" s="58">
        <v>46042.0</v>
      </c>
      <c r="J145" s="68"/>
    </row>
    <row r="146" ht="15.75" customHeight="1">
      <c r="A146" s="29" t="str">
        <f t="shared" si="9"/>
        <v>01 - JAN - 26 / 20/01 - TER</v>
      </c>
      <c r="B146" s="55" t="s">
        <v>3190</v>
      </c>
      <c r="C146" s="55" t="s">
        <v>32</v>
      </c>
      <c r="D146" s="56" t="s">
        <v>378</v>
      </c>
      <c r="E146" s="56" t="s">
        <v>378</v>
      </c>
      <c r="F146" s="56"/>
      <c r="G146" s="57" t="s">
        <v>3191</v>
      </c>
      <c r="H146" s="64" t="s">
        <v>3192</v>
      </c>
      <c r="I146" s="58">
        <v>46042.0</v>
      </c>
      <c r="J146" s="68"/>
    </row>
    <row r="147" ht="15.75" customHeight="1">
      <c r="A147" s="29" t="str">
        <f t="shared" si="9"/>
        <v>01 - JAN - 26 / 20/01 - TER</v>
      </c>
      <c r="B147" s="55" t="s">
        <v>3193</v>
      </c>
      <c r="C147" s="55" t="s">
        <v>32</v>
      </c>
      <c r="D147" s="56" t="s">
        <v>378</v>
      </c>
      <c r="E147" s="56" t="s">
        <v>378</v>
      </c>
      <c r="F147" s="56"/>
      <c r="G147" s="57" t="s">
        <v>3194</v>
      </c>
      <c r="H147" s="64" t="s">
        <v>3195</v>
      </c>
      <c r="I147" s="58">
        <v>46042.0</v>
      </c>
      <c r="J147" s="68"/>
    </row>
    <row r="148" ht="15.75" customHeight="1">
      <c r="A148" s="29" t="str">
        <f t="shared" si="9"/>
        <v>01 - JAN - 26 / 20/01 - TER</v>
      </c>
      <c r="B148" s="55" t="s">
        <v>3196</v>
      </c>
      <c r="C148" s="55" t="s">
        <v>602</v>
      </c>
      <c r="D148" s="56" t="s">
        <v>378</v>
      </c>
      <c r="E148" s="56" t="s">
        <v>378</v>
      </c>
      <c r="F148" s="56"/>
      <c r="G148" s="57" t="s">
        <v>3197</v>
      </c>
      <c r="H148" s="64" t="s">
        <v>3198</v>
      </c>
      <c r="I148" s="58">
        <v>46042.0</v>
      </c>
      <c r="J148" s="68"/>
    </row>
    <row r="149" ht="15.75" customHeight="1">
      <c r="A149" s="29" t="str">
        <f t="shared" si="9"/>
        <v>01 - JAN - 26 / 20/01 - TER</v>
      </c>
      <c r="B149" s="55" t="s">
        <v>3199</v>
      </c>
      <c r="C149" s="55" t="s">
        <v>602</v>
      </c>
      <c r="D149" s="56" t="s">
        <v>378</v>
      </c>
      <c r="E149" s="56" t="s">
        <v>378</v>
      </c>
      <c r="F149" s="56"/>
      <c r="G149" s="57" t="s">
        <v>3200</v>
      </c>
      <c r="H149" s="64" t="s">
        <v>3201</v>
      </c>
      <c r="I149" s="58">
        <v>46042.0</v>
      </c>
      <c r="J149" s="68"/>
    </row>
    <row r="150" ht="15.75" customHeight="1">
      <c r="A150" s="29" t="str">
        <f t="shared" si="9"/>
        <v>01 - JAN - 26 / 20/01 - TER</v>
      </c>
      <c r="B150" s="55" t="s">
        <v>3202</v>
      </c>
      <c r="C150" s="55" t="s">
        <v>602</v>
      </c>
      <c r="D150" s="56" t="s">
        <v>378</v>
      </c>
      <c r="E150" s="56" t="s">
        <v>378</v>
      </c>
      <c r="F150" s="56"/>
      <c r="G150" s="57" t="s">
        <v>3203</v>
      </c>
      <c r="H150" s="64" t="s">
        <v>3204</v>
      </c>
      <c r="I150" s="58">
        <v>46042.0</v>
      </c>
      <c r="J150" s="68"/>
    </row>
    <row r="151" ht="15.75" customHeight="1">
      <c r="A151" s="29" t="str">
        <f t="shared" si="9"/>
        <v>01 - JAN - 26 / 20/01 - TER</v>
      </c>
      <c r="B151" s="55" t="s">
        <v>3205</v>
      </c>
      <c r="C151" s="55" t="s">
        <v>602</v>
      </c>
      <c r="D151" s="56" t="s">
        <v>378</v>
      </c>
      <c r="E151" s="56" t="s">
        <v>378</v>
      </c>
      <c r="F151" s="56"/>
      <c r="G151" s="57" t="s">
        <v>3206</v>
      </c>
      <c r="H151" s="64" t="s">
        <v>3207</v>
      </c>
      <c r="I151" s="58">
        <v>46042.0</v>
      </c>
      <c r="J151" s="68"/>
    </row>
    <row r="152" ht="15.75" customHeight="1">
      <c r="A152" s="29" t="str">
        <f t="shared" si="9"/>
        <v>01 - JAN - 26 / 20/01 - TER</v>
      </c>
      <c r="B152" s="55" t="s">
        <v>3208</v>
      </c>
      <c r="C152" s="55" t="s">
        <v>86</v>
      </c>
      <c r="D152" s="56" t="s">
        <v>378</v>
      </c>
      <c r="E152" s="56" t="s">
        <v>378</v>
      </c>
      <c r="F152" s="56"/>
      <c r="G152" s="57" t="s">
        <v>3209</v>
      </c>
      <c r="H152" s="64" t="s">
        <v>3210</v>
      </c>
      <c r="I152" s="58">
        <v>46041.0</v>
      </c>
      <c r="J152" s="68"/>
    </row>
    <row r="153" ht="15.75" customHeight="1">
      <c r="A153" s="37" t="str">
        <f t="shared" ref="A153:A162" si="10">HYPERLINK("https://drive.google.com/drive/folders/1tAMaHivCgTB63Dp_h7qUTGWRpnKyNAcR", "01 - JAN - 26 / 19/01 - SEG")</f>
        <v>01 - JAN - 26 / 19/01 - SEG</v>
      </c>
      <c r="B153" s="59" t="s">
        <v>3211</v>
      </c>
      <c r="C153" s="59" t="s">
        <v>86</v>
      </c>
      <c r="D153" s="60" t="s">
        <v>378</v>
      </c>
      <c r="E153" s="60" t="s">
        <v>378</v>
      </c>
      <c r="F153" s="60"/>
      <c r="G153" s="61" t="s">
        <v>3212</v>
      </c>
      <c r="H153" s="63" t="s">
        <v>3213</v>
      </c>
      <c r="I153" s="62">
        <v>46041.0</v>
      </c>
      <c r="J153" s="68"/>
    </row>
    <row r="154" ht="15.75" customHeight="1">
      <c r="A154" s="29" t="str">
        <f t="shared" si="10"/>
        <v>01 - JAN - 26 / 19/01 - SEG</v>
      </c>
      <c r="B154" s="55" t="s">
        <v>3214</v>
      </c>
      <c r="C154" s="55" t="s">
        <v>86</v>
      </c>
      <c r="D154" s="56" t="s">
        <v>378</v>
      </c>
      <c r="E154" s="56" t="s">
        <v>378</v>
      </c>
      <c r="F154" s="56"/>
      <c r="G154" s="57" t="s">
        <v>3215</v>
      </c>
      <c r="H154" s="64" t="s">
        <v>3216</v>
      </c>
      <c r="I154" s="58">
        <v>46041.0</v>
      </c>
      <c r="J154" s="68"/>
    </row>
    <row r="155" ht="15.75" customHeight="1">
      <c r="A155" s="29" t="str">
        <f t="shared" si="10"/>
        <v>01 - JAN - 26 / 19/01 - SEG</v>
      </c>
      <c r="B155" s="55" t="s">
        <v>3217</v>
      </c>
      <c r="C155" s="55" t="s">
        <v>86</v>
      </c>
      <c r="D155" s="56" t="s">
        <v>378</v>
      </c>
      <c r="E155" s="56" t="s">
        <v>378</v>
      </c>
      <c r="F155" s="56"/>
      <c r="G155" s="57" t="s">
        <v>3218</v>
      </c>
      <c r="H155" s="64" t="s">
        <v>3219</v>
      </c>
      <c r="I155" s="58">
        <v>46041.0</v>
      </c>
      <c r="J155" s="68"/>
    </row>
    <row r="156" ht="15.75" customHeight="1">
      <c r="A156" s="29" t="str">
        <f t="shared" si="10"/>
        <v>01 - JAN - 26 / 19/01 - SEG</v>
      </c>
      <c r="B156" s="55" t="s">
        <v>3220</v>
      </c>
      <c r="C156" s="55" t="s">
        <v>86</v>
      </c>
      <c r="D156" s="56" t="s">
        <v>378</v>
      </c>
      <c r="E156" s="56" t="s">
        <v>378</v>
      </c>
      <c r="F156" s="56"/>
      <c r="G156" s="57" t="s">
        <v>3221</v>
      </c>
      <c r="H156" s="64" t="s">
        <v>3222</v>
      </c>
      <c r="I156" s="58">
        <v>46041.0</v>
      </c>
      <c r="J156" s="68"/>
    </row>
    <row r="157" ht="15.75" customHeight="1">
      <c r="A157" s="29" t="str">
        <f t="shared" si="10"/>
        <v>01 - JAN - 26 / 19/01 - SEG</v>
      </c>
      <c r="B157" s="55" t="s">
        <v>3223</v>
      </c>
      <c r="C157" s="55" t="s">
        <v>602</v>
      </c>
      <c r="D157" s="56" t="s">
        <v>378</v>
      </c>
      <c r="E157" s="56" t="s">
        <v>378</v>
      </c>
      <c r="F157" s="56"/>
      <c r="G157" s="57" t="s">
        <v>3224</v>
      </c>
      <c r="H157" s="64" t="s">
        <v>3225</v>
      </c>
      <c r="I157" s="58">
        <v>46041.0</v>
      </c>
      <c r="J157" s="68"/>
    </row>
    <row r="158" ht="15.75" customHeight="1">
      <c r="A158" s="29" t="str">
        <f t="shared" si="10"/>
        <v>01 - JAN - 26 / 19/01 - SEG</v>
      </c>
      <c r="B158" s="55" t="s">
        <v>3226</v>
      </c>
      <c r="C158" s="55" t="s">
        <v>602</v>
      </c>
      <c r="D158" s="56" t="s">
        <v>378</v>
      </c>
      <c r="E158" s="56" t="s">
        <v>378</v>
      </c>
      <c r="F158" s="56"/>
      <c r="G158" s="57" t="s">
        <v>3227</v>
      </c>
      <c r="H158" s="64" t="s">
        <v>3228</v>
      </c>
      <c r="I158" s="58">
        <v>46041.0</v>
      </c>
      <c r="J158" s="68"/>
    </row>
    <row r="159" ht="15.75" customHeight="1">
      <c r="A159" s="29" t="str">
        <f t="shared" si="10"/>
        <v>01 - JAN - 26 / 19/01 - SEG</v>
      </c>
      <c r="B159" s="55" t="s">
        <v>3229</v>
      </c>
      <c r="C159" s="55" t="s">
        <v>602</v>
      </c>
      <c r="D159" s="56" t="s">
        <v>378</v>
      </c>
      <c r="E159" s="56" t="s">
        <v>378</v>
      </c>
      <c r="F159" s="56"/>
      <c r="G159" s="57" t="s">
        <v>3230</v>
      </c>
      <c r="H159" s="64" t="s">
        <v>3231</v>
      </c>
      <c r="I159" s="58">
        <v>46041.0</v>
      </c>
      <c r="J159" s="68"/>
    </row>
    <row r="160" ht="15.75" customHeight="1">
      <c r="A160" s="29" t="str">
        <f t="shared" si="10"/>
        <v>01 - JAN - 26 / 19/01 - SEG</v>
      </c>
      <c r="B160" s="55" t="s">
        <v>3232</v>
      </c>
      <c r="C160" s="55" t="s">
        <v>602</v>
      </c>
      <c r="D160" s="56" t="s">
        <v>378</v>
      </c>
      <c r="E160" s="56" t="s">
        <v>378</v>
      </c>
      <c r="F160" s="56"/>
      <c r="G160" s="57" t="s">
        <v>3233</v>
      </c>
      <c r="H160" s="64" t="s">
        <v>3234</v>
      </c>
      <c r="I160" s="58">
        <v>46041.0</v>
      </c>
      <c r="J160" s="68"/>
    </row>
    <row r="161" ht="15.75" customHeight="1">
      <c r="A161" s="29" t="str">
        <f t="shared" si="10"/>
        <v>01 - JAN - 26 / 19/01 - SEG</v>
      </c>
      <c r="B161" s="55" t="s">
        <v>3235</v>
      </c>
      <c r="C161" s="55" t="s">
        <v>602</v>
      </c>
      <c r="D161" s="56" t="s">
        <v>378</v>
      </c>
      <c r="E161" s="56" t="s">
        <v>378</v>
      </c>
      <c r="F161" s="56"/>
      <c r="G161" s="57" t="s">
        <v>3236</v>
      </c>
      <c r="H161" s="64" t="s">
        <v>3237</v>
      </c>
      <c r="I161" s="58">
        <v>46041.0</v>
      </c>
      <c r="J161" s="15"/>
    </row>
    <row r="162" ht="15.75" customHeight="1">
      <c r="A162" s="29" t="str">
        <f t="shared" si="10"/>
        <v>01 - JAN - 26 / 19/01 - SEG</v>
      </c>
      <c r="B162" s="55" t="s">
        <v>3238</v>
      </c>
      <c r="C162" s="55" t="s">
        <v>602</v>
      </c>
      <c r="D162" s="56" t="s">
        <v>378</v>
      </c>
      <c r="E162" s="56" t="s">
        <v>378</v>
      </c>
      <c r="F162" s="56"/>
      <c r="G162" s="57" t="s">
        <v>3239</v>
      </c>
      <c r="H162" s="64" t="s">
        <v>3240</v>
      </c>
      <c r="I162" s="58">
        <v>46041.0</v>
      </c>
      <c r="J162" s="55"/>
    </row>
    <row r="163" ht="15.75" customHeight="1">
      <c r="A163" s="37" t="str">
        <f t="shared" ref="A163:A172" si="11">HYPERLINK("https://drive.google.com/drive/folders/1wQIj7Bfw2xXRaSUT3swgLkSG9x4-P-r6", "01 - JAN - 26 / 16/01 - SEX")</f>
        <v>01 - JAN - 26 / 16/01 - SEX</v>
      </c>
      <c r="B163" s="59" t="s">
        <v>3241</v>
      </c>
      <c r="C163" s="59" t="s">
        <v>602</v>
      </c>
      <c r="D163" s="60" t="s">
        <v>378</v>
      </c>
      <c r="E163" s="60" t="s">
        <v>378</v>
      </c>
      <c r="F163" s="60"/>
      <c r="G163" s="61" t="s">
        <v>3242</v>
      </c>
      <c r="H163" s="63" t="s">
        <v>3243</v>
      </c>
      <c r="I163" s="62">
        <v>46038.0</v>
      </c>
      <c r="J163" s="15"/>
    </row>
    <row r="164" ht="15.75" customHeight="1">
      <c r="A164" s="29" t="str">
        <f t="shared" si="11"/>
        <v>01 - JAN - 26 / 16/01 - SEX</v>
      </c>
      <c r="B164" s="55" t="s">
        <v>3244</v>
      </c>
      <c r="C164" s="55" t="s">
        <v>602</v>
      </c>
      <c r="D164" s="56" t="s">
        <v>378</v>
      </c>
      <c r="E164" s="56" t="s">
        <v>378</v>
      </c>
      <c r="F164" s="56"/>
      <c r="G164" s="57" t="s">
        <v>3245</v>
      </c>
      <c r="H164" s="64" t="s">
        <v>3246</v>
      </c>
      <c r="I164" s="58">
        <v>46038.0</v>
      </c>
      <c r="J164" s="15"/>
    </row>
    <row r="165" ht="15.75" customHeight="1">
      <c r="A165" s="29" t="str">
        <f t="shared" si="11"/>
        <v>01 - JAN - 26 / 16/01 - SEX</v>
      </c>
      <c r="B165" s="55" t="s">
        <v>3247</v>
      </c>
      <c r="C165" s="55" t="s">
        <v>602</v>
      </c>
      <c r="D165" s="56" t="s">
        <v>378</v>
      </c>
      <c r="E165" s="56" t="s">
        <v>378</v>
      </c>
      <c r="F165" s="56"/>
      <c r="G165" s="57" t="s">
        <v>3248</v>
      </c>
      <c r="H165" s="64" t="s">
        <v>3249</v>
      </c>
      <c r="I165" s="58">
        <v>46038.0</v>
      </c>
      <c r="J165" s="15"/>
    </row>
    <row r="166" ht="15.75" customHeight="1">
      <c r="A166" s="29" t="str">
        <f t="shared" si="11"/>
        <v>01 - JAN - 26 / 16/01 - SEX</v>
      </c>
      <c r="B166" s="55" t="s">
        <v>3250</v>
      </c>
      <c r="C166" s="55" t="s">
        <v>602</v>
      </c>
      <c r="D166" s="56" t="s">
        <v>378</v>
      </c>
      <c r="E166" s="56" t="s">
        <v>378</v>
      </c>
      <c r="F166" s="56"/>
      <c r="G166" s="57" t="s">
        <v>3251</v>
      </c>
      <c r="H166" s="64" t="s">
        <v>3252</v>
      </c>
      <c r="I166" s="58">
        <v>46038.0</v>
      </c>
      <c r="J166" s="15"/>
    </row>
    <row r="167" ht="15.75" customHeight="1">
      <c r="A167" s="29" t="str">
        <f t="shared" si="11"/>
        <v>01 - JAN - 26 / 16/01 - SEX</v>
      </c>
      <c r="B167" s="55" t="s">
        <v>3253</v>
      </c>
      <c r="C167" s="55" t="s">
        <v>602</v>
      </c>
      <c r="D167" s="56" t="s">
        <v>378</v>
      </c>
      <c r="E167" s="56" t="s">
        <v>378</v>
      </c>
      <c r="F167" s="56"/>
      <c r="G167" s="57" t="s">
        <v>3254</v>
      </c>
      <c r="H167" s="64" t="s">
        <v>3255</v>
      </c>
      <c r="I167" s="58">
        <v>46038.0</v>
      </c>
      <c r="J167" s="15"/>
    </row>
    <row r="168" ht="15.75" customHeight="1">
      <c r="A168" s="29" t="str">
        <f t="shared" si="11"/>
        <v>01 - JAN - 26 / 16/01 - SEX</v>
      </c>
      <c r="B168" s="55" t="s">
        <v>3256</v>
      </c>
      <c r="C168" s="55" t="s">
        <v>602</v>
      </c>
      <c r="D168" s="56" t="s">
        <v>378</v>
      </c>
      <c r="E168" s="56" t="s">
        <v>378</v>
      </c>
      <c r="F168" s="56"/>
      <c r="G168" s="57" t="s">
        <v>3257</v>
      </c>
      <c r="H168" s="64" t="s">
        <v>3258</v>
      </c>
      <c r="I168" s="58">
        <v>46038.0</v>
      </c>
      <c r="J168" s="15"/>
    </row>
    <row r="169" ht="15.75" customHeight="1">
      <c r="A169" s="29" t="str">
        <f t="shared" si="11"/>
        <v>01 - JAN - 26 / 16/01 - SEX</v>
      </c>
      <c r="B169" s="55" t="s">
        <v>3259</v>
      </c>
      <c r="C169" s="55" t="s">
        <v>86</v>
      </c>
      <c r="D169" s="56" t="s">
        <v>378</v>
      </c>
      <c r="E169" s="56" t="s">
        <v>378</v>
      </c>
      <c r="F169" s="56"/>
      <c r="G169" s="57" t="s">
        <v>3260</v>
      </c>
      <c r="H169" s="64" t="s">
        <v>3261</v>
      </c>
      <c r="I169" s="58">
        <v>46037.0</v>
      </c>
      <c r="J169" s="15"/>
    </row>
    <row r="170" ht="15.75" customHeight="1">
      <c r="A170" s="29" t="str">
        <f t="shared" si="11"/>
        <v>01 - JAN - 26 / 16/01 - SEX</v>
      </c>
      <c r="B170" s="55" t="s">
        <v>3262</v>
      </c>
      <c r="C170" s="55" t="s">
        <v>86</v>
      </c>
      <c r="D170" s="56" t="s">
        <v>378</v>
      </c>
      <c r="E170" s="56" t="s">
        <v>378</v>
      </c>
      <c r="F170" s="56"/>
      <c r="G170" s="57" t="s">
        <v>3263</v>
      </c>
      <c r="H170" s="64" t="s">
        <v>3264</v>
      </c>
      <c r="I170" s="58">
        <v>46037.0</v>
      </c>
      <c r="J170" s="15"/>
    </row>
    <row r="171" ht="15.75" customHeight="1">
      <c r="A171" s="29" t="str">
        <f t="shared" si="11"/>
        <v>01 - JAN - 26 / 16/01 - SEX</v>
      </c>
      <c r="B171" s="55" t="s">
        <v>3265</v>
      </c>
      <c r="C171" s="55" t="s">
        <v>86</v>
      </c>
      <c r="D171" s="56" t="s">
        <v>378</v>
      </c>
      <c r="E171" s="56" t="s">
        <v>378</v>
      </c>
      <c r="F171" s="56"/>
      <c r="G171" s="57" t="s">
        <v>3266</v>
      </c>
      <c r="H171" s="64" t="s">
        <v>3267</v>
      </c>
      <c r="I171" s="58">
        <v>46037.0</v>
      </c>
      <c r="J171" s="15"/>
    </row>
    <row r="172" ht="15.75" customHeight="1">
      <c r="A172" s="29" t="str">
        <f t="shared" si="11"/>
        <v>01 - JAN - 26 / 16/01 - SEX</v>
      </c>
      <c r="B172" s="55" t="s">
        <v>3268</v>
      </c>
      <c r="C172" s="55" t="s">
        <v>86</v>
      </c>
      <c r="D172" s="56" t="s">
        <v>378</v>
      </c>
      <c r="E172" s="56" t="s">
        <v>378</v>
      </c>
      <c r="F172" s="56"/>
      <c r="G172" s="57" t="s">
        <v>3269</v>
      </c>
      <c r="H172" s="64" t="s">
        <v>3270</v>
      </c>
      <c r="I172" s="58">
        <v>46037.0</v>
      </c>
      <c r="J172" s="15"/>
    </row>
    <row r="173" ht="15.75" customHeight="1">
      <c r="A173" s="37" t="str">
        <f t="shared" ref="A173:A182" si="12">HYPERLINK("https://drive.google.com/drive/folders/1-ITFEbE_J6XPLToQu0kgAsVM_6Dyxvhs", "01 - JAN - 26 / 15/01 - QUI")</f>
        <v>01 - JAN - 26 / 15/01 - QUI</v>
      </c>
      <c r="B173" s="59" t="s">
        <v>3271</v>
      </c>
      <c r="C173" s="59" t="s">
        <v>602</v>
      </c>
      <c r="D173" s="60" t="s">
        <v>378</v>
      </c>
      <c r="E173" s="60" t="s">
        <v>378</v>
      </c>
      <c r="F173" s="60"/>
      <c r="G173" s="61" t="s">
        <v>3272</v>
      </c>
      <c r="H173" s="63" t="s">
        <v>3273</v>
      </c>
      <c r="I173" s="62">
        <v>46037.0</v>
      </c>
      <c r="J173" s="15"/>
    </row>
    <row r="174" ht="15.75" customHeight="1">
      <c r="A174" s="29" t="str">
        <f t="shared" si="12"/>
        <v>01 - JAN - 26 / 15/01 - QUI</v>
      </c>
      <c r="B174" s="55" t="s">
        <v>3274</v>
      </c>
      <c r="C174" s="55" t="s">
        <v>602</v>
      </c>
      <c r="D174" s="56" t="s">
        <v>378</v>
      </c>
      <c r="E174" s="56" t="s">
        <v>378</v>
      </c>
      <c r="F174" s="56"/>
      <c r="G174" s="57" t="s">
        <v>3275</v>
      </c>
      <c r="H174" s="64" t="s">
        <v>3276</v>
      </c>
      <c r="I174" s="58">
        <v>46037.0</v>
      </c>
      <c r="J174" s="15"/>
    </row>
    <row r="175" ht="15.75" customHeight="1">
      <c r="A175" s="29" t="str">
        <f t="shared" si="12"/>
        <v>01 - JAN - 26 / 15/01 - QUI</v>
      </c>
      <c r="B175" s="55" t="s">
        <v>3277</v>
      </c>
      <c r="C175" s="55" t="s">
        <v>602</v>
      </c>
      <c r="D175" s="56" t="s">
        <v>378</v>
      </c>
      <c r="E175" s="56" t="s">
        <v>378</v>
      </c>
      <c r="F175" s="56"/>
      <c r="G175" s="57" t="s">
        <v>3278</v>
      </c>
      <c r="H175" s="64" t="s">
        <v>3279</v>
      </c>
      <c r="I175" s="58">
        <v>46037.0</v>
      </c>
      <c r="J175" s="15"/>
    </row>
    <row r="176" ht="15.75" customHeight="1">
      <c r="A176" s="29" t="str">
        <f t="shared" si="12"/>
        <v>01 - JAN - 26 / 15/01 - QUI</v>
      </c>
      <c r="B176" s="55" t="s">
        <v>3280</v>
      </c>
      <c r="C176" s="55" t="s">
        <v>602</v>
      </c>
      <c r="D176" s="56" t="s">
        <v>378</v>
      </c>
      <c r="E176" s="56" t="s">
        <v>378</v>
      </c>
      <c r="F176" s="56"/>
      <c r="G176" s="57" t="s">
        <v>3281</v>
      </c>
      <c r="H176" s="64" t="s">
        <v>3282</v>
      </c>
      <c r="I176" s="58">
        <v>46037.0</v>
      </c>
      <c r="J176" s="15"/>
    </row>
    <row r="177" ht="15.75" customHeight="1">
      <c r="A177" s="29" t="str">
        <f t="shared" si="12"/>
        <v>01 - JAN - 26 / 15/01 - QUI</v>
      </c>
      <c r="B177" s="55" t="s">
        <v>3283</v>
      </c>
      <c r="C177" s="55" t="s">
        <v>602</v>
      </c>
      <c r="D177" s="56" t="s">
        <v>378</v>
      </c>
      <c r="E177" s="56" t="s">
        <v>378</v>
      </c>
      <c r="F177" s="56"/>
      <c r="G177" s="57" t="s">
        <v>3284</v>
      </c>
      <c r="H177" s="64" t="s">
        <v>3285</v>
      </c>
      <c r="I177" s="58">
        <v>46037.0</v>
      </c>
      <c r="J177" s="15"/>
    </row>
    <row r="178" ht="15.75" customHeight="1">
      <c r="A178" s="29" t="str">
        <f t="shared" si="12"/>
        <v>01 - JAN - 26 / 15/01 - QUI</v>
      </c>
      <c r="B178" s="55" t="s">
        <v>3286</v>
      </c>
      <c r="C178" s="55" t="s">
        <v>86</v>
      </c>
      <c r="D178" s="56" t="s">
        <v>378</v>
      </c>
      <c r="E178" s="56" t="s">
        <v>378</v>
      </c>
      <c r="F178" s="56"/>
      <c r="G178" s="57" t="s">
        <v>3287</v>
      </c>
      <c r="H178" s="64" t="s">
        <v>3288</v>
      </c>
      <c r="I178" s="58">
        <v>46036.0</v>
      </c>
      <c r="J178" s="15"/>
    </row>
    <row r="179" ht="15.75" customHeight="1">
      <c r="A179" s="29" t="str">
        <f t="shared" si="12"/>
        <v>01 - JAN - 26 / 15/01 - QUI</v>
      </c>
      <c r="B179" s="55" t="s">
        <v>3289</v>
      </c>
      <c r="C179" s="55" t="s">
        <v>86</v>
      </c>
      <c r="D179" s="56" t="s">
        <v>378</v>
      </c>
      <c r="E179" s="56" t="s">
        <v>378</v>
      </c>
      <c r="F179" s="56"/>
      <c r="G179" s="57" t="s">
        <v>3290</v>
      </c>
      <c r="H179" s="64" t="s">
        <v>3291</v>
      </c>
      <c r="I179" s="58">
        <v>46036.0</v>
      </c>
      <c r="J179" s="15"/>
    </row>
    <row r="180" ht="15.75" customHeight="1">
      <c r="A180" s="29" t="str">
        <f t="shared" si="12"/>
        <v>01 - JAN - 26 / 15/01 - QUI</v>
      </c>
      <c r="B180" s="55" t="s">
        <v>3292</v>
      </c>
      <c r="C180" s="55" t="s">
        <v>86</v>
      </c>
      <c r="D180" s="56" t="s">
        <v>378</v>
      </c>
      <c r="E180" s="56" t="s">
        <v>378</v>
      </c>
      <c r="F180" s="56"/>
      <c r="G180" s="57" t="s">
        <v>3293</v>
      </c>
      <c r="H180" s="64" t="s">
        <v>3294</v>
      </c>
      <c r="I180" s="58">
        <v>46036.0</v>
      </c>
      <c r="J180" s="15"/>
    </row>
    <row r="181" ht="15.75" customHeight="1">
      <c r="A181" s="29" t="str">
        <f t="shared" si="12"/>
        <v>01 - JAN - 26 / 15/01 - QUI</v>
      </c>
      <c r="B181" s="55" t="s">
        <v>3295</v>
      </c>
      <c r="C181" s="55" t="s">
        <v>86</v>
      </c>
      <c r="D181" s="56" t="s">
        <v>378</v>
      </c>
      <c r="E181" s="56" t="s">
        <v>378</v>
      </c>
      <c r="F181" s="56"/>
      <c r="G181" s="57" t="s">
        <v>3296</v>
      </c>
      <c r="H181" s="64" t="s">
        <v>3297</v>
      </c>
      <c r="I181" s="58">
        <v>46036.0</v>
      </c>
      <c r="J181" s="15"/>
    </row>
    <row r="182" ht="15.75" customHeight="1">
      <c r="A182" s="29" t="str">
        <f t="shared" si="12"/>
        <v>01 - JAN - 26 / 15/01 - QUI</v>
      </c>
      <c r="B182" s="55" t="s">
        <v>3298</v>
      </c>
      <c r="C182" s="55" t="s">
        <v>86</v>
      </c>
      <c r="D182" s="56" t="s">
        <v>378</v>
      </c>
      <c r="E182" s="56" t="s">
        <v>378</v>
      </c>
      <c r="F182" s="56"/>
      <c r="G182" s="57" t="s">
        <v>3299</v>
      </c>
      <c r="H182" s="64" t="s">
        <v>3300</v>
      </c>
      <c r="I182" s="58">
        <v>46036.0</v>
      </c>
      <c r="J182" s="15"/>
    </row>
    <row r="183" ht="15.75" customHeight="1">
      <c r="A183" s="37" t="str">
        <f t="shared" ref="A183:A192" si="13">HYPERLINK("https://drive.google.com/drive/folders/1u3RtaACOyXHe7EnTuM7hmrwnHzRwu3NK", "01 - JAN - 26 / 14/01 - QUA")</f>
        <v>01 - JAN - 26 / 14/01 - QUA</v>
      </c>
      <c r="B183" s="59" t="s">
        <v>3301</v>
      </c>
      <c r="C183" s="59" t="s">
        <v>602</v>
      </c>
      <c r="D183" s="60" t="s">
        <v>378</v>
      </c>
      <c r="E183" s="60" t="s">
        <v>378</v>
      </c>
      <c r="F183" s="60"/>
      <c r="G183" s="61" t="s">
        <v>3302</v>
      </c>
      <c r="H183" s="63" t="s">
        <v>3303</v>
      </c>
      <c r="I183" s="62">
        <v>46036.0</v>
      </c>
      <c r="J183" s="15"/>
    </row>
    <row r="184" ht="15.75" customHeight="1">
      <c r="A184" s="29" t="str">
        <f t="shared" si="13"/>
        <v>01 - JAN - 26 / 14/01 - QUA</v>
      </c>
      <c r="B184" s="55" t="s">
        <v>3304</v>
      </c>
      <c r="C184" s="55" t="s">
        <v>602</v>
      </c>
      <c r="D184" s="56" t="s">
        <v>378</v>
      </c>
      <c r="E184" s="56" t="s">
        <v>378</v>
      </c>
      <c r="F184" s="56"/>
      <c r="G184" s="57" t="s">
        <v>3305</v>
      </c>
      <c r="H184" s="64" t="s">
        <v>3306</v>
      </c>
      <c r="I184" s="58">
        <v>46036.0</v>
      </c>
      <c r="J184" s="15"/>
    </row>
    <row r="185" ht="15.75" customHeight="1">
      <c r="A185" s="29" t="str">
        <f t="shared" si="13"/>
        <v>01 - JAN - 26 / 14/01 - QUA</v>
      </c>
      <c r="B185" s="55" t="s">
        <v>3307</v>
      </c>
      <c r="C185" s="55" t="s">
        <v>602</v>
      </c>
      <c r="D185" s="56" t="s">
        <v>378</v>
      </c>
      <c r="E185" s="56" t="s">
        <v>378</v>
      </c>
      <c r="F185" s="56"/>
      <c r="G185" s="57" t="s">
        <v>3308</v>
      </c>
      <c r="H185" s="64" t="s">
        <v>3309</v>
      </c>
      <c r="I185" s="58">
        <v>46036.0</v>
      </c>
      <c r="J185" s="15"/>
    </row>
    <row r="186" ht="15.75" customHeight="1">
      <c r="A186" s="29" t="str">
        <f t="shared" si="13"/>
        <v>01 - JAN - 26 / 14/01 - QUA</v>
      </c>
      <c r="B186" s="55" t="s">
        <v>3310</v>
      </c>
      <c r="C186" s="55" t="s">
        <v>602</v>
      </c>
      <c r="D186" s="56" t="s">
        <v>378</v>
      </c>
      <c r="E186" s="56" t="s">
        <v>378</v>
      </c>
      <c r="F186" s="56"/>
      <c r="G186" s="57" t="s">
        <v>3311</v>
      </c>
      <c r="H186" s="64" t="s">
        <v>3312</v>
      </c>
      <c r="I186" s="58">
        <v>46036.0</v>
      </c>
      <c r="J186" s="15"/>
    </row>
    <row r="187" ht="15.75" customHeight="1">
      <c r="A187" s="29" t="str">
        <f t="shared" si="13"/>
        <v>01 - JAN - 26 / 14/01 - QUA</v>
      </c>
      <c r="B187" s="55" t="s">
        <v>3313</v>
      </c>
      <c r="C187" s="55" t="s">
        <v>602</v>
      </c>
      <c r="D187" s="56" t="s">
        <v>378</v>
      </c>
      <c r="E187" s="56" t="s">
        <v>378</v>
      </c>
      <c r="F187" s="56"/>
      <c r="G187" s="57" t="s">
        <v>3314</v>
      </c>
      <c r="H187" s="64" t="s">
        <v>3315</v>
      </c>
      <c r="I187" s="58">
        <v>46036.0</v>
      </c>
      <c r="J187" s="15"/>
    </row>
    <row r="188" ht="15.75" customHeight="1">
      <c r="A188" s="29" t="str">
        <f t="shared" si="13"/>
        <v>01 - JAN - 26 / 14/01 - QUA</v>
      </c>
      <c r="B188" s="55" t="s">
        <v>3316</v>
      </c>
      <c r="C188" s="55" t="s">
        <v>602</v>
      </c>
      <c r="D188" s="56" t="s">
        <v>378</v>
      </c>
      <c r="E188" s="56" t="s">
        <v>378</v>
      </c>
      <c r="F188" s="56"/>
      <c r="G188" s="57" t="s">
        <v>3317</v>
      </c>
      <c r="H188" s="64" t="s">
        <v>3318</v>
      </c>
      <c r="I188" s="58">
        <v>46036.0</v>
      </c>
      <c r="J188" s="15"/>
    </row>
    <row r="189" ht="15.75" customHeight="1">
      <c r="A189" s="29" t="str">
        <f t="shared" si="13"/>
        <v>01 - JAN - 26 / 14/01 - QUA</v>
      </c>
      <c r="B189" s="55" t="s">
        <v>3319</v>
      </c>
      <c r="C189" s="55" t="s">
        <v>602</v>
      </c>
      <c r="D189" s="56" t="s">
        <v>378</v>
      </c>
      <c r="E189" s="56" t="s">
        <v>378</v>
      </c>
      <c r="F189" s="56"/>
      <c r="G189" s="57" t="s">
        <v>3320</v>
      </c>
      <c r="H189" s="64" t="s">
        <v>3321</v>
      </c>
      <c r="I189" s="58">
        <v>46036.0</v>
      </c>
      <c r="J189" s="15"/>
    </row>
    <row r="190" ht="15.75" customHeight="1">
      <c r="A190" s="29" t="str">
        <f t="shared" si="13"/>
        <v>01 - JAN - 26 / 14/01 - QUA</v>
      </c>
      <c r="B190" s="55" t="s">
        <v>3322</v>
      </c>
      <c r="C190" s="55" t="s">
        <v>86</v>
      </c>
      <c r="D190" s="56" t="s">
        <v>378</v>
      </c>
      <c r="E190" s="56" t="s">
        <v>378</v>
      </c>
      <c r="F190" s="56"/>
      <c r="G190" s="57" t="s">
        <v>3323</v>
      </c>
      <c r="H190" s="64" t="s">
        <v>3324</v>
      </c>
      <c r="I190" s="58">
        <v>46035.0</v>
      </c>
      <c r="J190" s="15"/>
    </row>
    <row r="191" ht="15.75" customHeight="1">
      <c r="A191" s="29" t="str">
        <f t="shared" si="13"/>
        <v>01 - JAN - 26 / 14/01 - QUA</v>
      </c>
      <c r="B191" s="55" t="s">
        <v>3325</v>
      </c>
      <c r="C191" s="55" t="s">
        <v>86</v>
      </c>
      <c r="D191" s="56" t="s">
        <v>378</v>
      </c>
      <c r="E191" s="56" t="s">
        <v>378</v>
      </c>
      <c r="F191" s="56"/>
      <c r="G191" s="57" t="s">
        <v>3326</v>
      </c>
      <c r="H191" s="64" t="s">
        <v>3327</v>
      </c>
      <c r="I191" s="58">
        <v>46035.0</v>
      </c>
      <c r="J191" s="15"/>
    </row>
    <row r="192" ht="15.75" customHeight="1">
      <c r="A192" s="29" t="str">
        <f t="shared" si="13"/>
        <v>01 - JAN - 26 / 14/01 - QUA</v>
      </c>
      <c r="B192" s="55" t="s">
        <v>3328</v>
      </c>
      <c r="C192" s="55" t="s">
        <v>86</v>
      </c>
      <c r="D192" s="56" t="s">
        <v>378</v>
      </c>
      <c r="E192" s="56" t="s">
        <v>378</v>
      </c>
      <c r="F192" s="56"/>
      <c r="G192" s="57" t="s">
        <v>3329</v>
      </c>
      <c r="H192" s="64" t="s">
        <v>3330</v>
      </c>
      <c r="I192" s="58">
        <v>46035.0</v>
      </c>
      <c r="J192" s="15"/>
    </row>
    <row r="193" ht="15.75" customHeight="1">
      <c r="A193" s="37" t="str">
        <f t="shared" ref="A193:A202" si="14">HYPERLINK("https://drive.google.com/drive/folders/1vcahyO485oIiz74MGgOYlSh3iN8pkGmp", "01 - JAN - 26 / 13/01 - TER")</f>
        <v>01 - JAN - 26 / 13/01 - TER</v>
      </c>
      <c r="B193" s="59" t="s">
        <v>3331</v>
      </c>
      <c r="C193" s="59" t="s">
        <v>602</v>
      </c>
      <c r="D193" s="60" t="s">
        <v>378</v>
      </c>
      <c r="E193" s="60" t="s">
        <v>378</v>
      </c>
      <c r="F193" s="60"/>
      <c r="G193" s="61" t="s">
        <v>3332</v>
      </c>
      <c r="H193" s="63" t="s">
        <v>3333</v>
      </c>
      <c r="I193" s="62">
        <v>46035.0</v>
      </c>
      <c r="J193" s="15"/>
    </row>
    <row r="194" ht="15.75" customHeight="1">
      <c r="A194" s="29" t="str">
        <f t="shared" si="14"/>
        <v>01 - JAN - 26 / 13/01 - TER</v>
      </c>
      <c r="B194" s="55" t="s">
        <v>3334</v>
      </c>
      <c r="C194" s="55" t="s">
        <v>602</v>
      </c>
      <c r="D194" s="56" t="s">
        <v>378</v>
      </c>
      <c r="E194" s="56" t="s">
        <v>378</v>
      </c>
      <c r="F194" s="56"/>
      <c r="G194" s="57" t="s">
        <v>3335</v>
      </c>
      <c r="H194" s="64" t="s">
        <v>3336</v>
      </c>
      <c r="I194" s="58">
        <v>46035.0</v>
      </c>
      <c r="J194" s="15"/>
    </row>
    <row r="195" ht="15.75" customHeight="1">
      <c r="A195" s="29" t="str">
        <f t="shared" si="14"/>
        <v>01 - JAN - 26 / 13/01 - TER</v>
      </c>
      <c r="B195" s="55" t="s">
        <v>3337</v>
      </c>
      <c r="C195" s="55" t="s">
        <v>602</v>
      </c>
      <c r="D195" s="56" t="s">
        <v>378</v>
      </c>
      <c r="E195" s="56" t="s">
        <v>378</v>
      </c>
      <c r="F195" s="56"/>
      <c r="G195" s="57" t="s">
        <v>3338</v>
      </c>
      <c r="H195" s="64" t="s">
        <v>3339</v>
      </c>
      <c r="I195" s="58">
        <v>46035.0</v>
      </c>
      <c r="J195" s="15"/>
    </row>
    <row r="196" ht="15.75" customHeight="1">
      <c r="A196" s="29" t="str">
        <f t="shared" si="14"/>
        <v>01 - JAN - 26 / 13/01 - TER</v>
      </c>
      <c r="B196" s="55" t="s">
        <v>3340</v>
      </c>
      <c r="C196" s="55" t="s">
        <v>602</v>
      </c>
      <c r="D196" s="56" t="s">
        <v>378</v>
      </c>
      <c r="E196" s="56" t="s">
        <v>378</v>
      </c>
      <c r="F196" s="56"/>
      <c r="G196" s="57" t="s">
        <v>3341</v>
      </c>
      <c r="H196" s="64" t="s">
        <v>3342</v>
      </c>
      <c r="I196" s="58">
        <v>46035.0</v>
      </c>
      <c r="J196" s="15"/>
    </row>
    <row r="197" ht="15.75" customHeight="1">
      <c r="A197" s="29" t="str">
        <f t="shared" si="14"/>
        <v>01 - JAN - 26 / 13/01 - TER</v>
      </c>
      <c r="B197" s="55" t="s">
        <v>3343</v>
      </c>
      <c r="C197" s="55" t="s">
        <v>602</v>
      </c>
      <c r="D197" s="56" t="s">
        <v>378</v>
      </c>
      <c r="E197" s="56" t="s">
        <v>378</v>
      </c>
      <c r="F197" s="56"/>
      <c r="G197" s="57" t="s">
        <v>3344</v>
      </c>
      <c r="H197" s="64" t="s">
        <v>3345</v>
      </c>
      <c r="I197" s="58">
        <v>46035.0</v>
      </c>
      <c r="J197" s="15"/>
    </row>
    <row r="198" ht="15.75" customHeight="1">
      <c r="A198" s="29" t="str">
        <f t="shared" si="14"/>
        <v>01 - JAN - 26 / 13/01 - TER</v>
      </c>
      <c r="B198" s="55" t="s">
        <v>3346</v>
      </c>
      <c r="C198" s="55" t="s">
        <v>602</v>
      </c>
      <c r="D198" s="56" t="s">
        <v>378</v>
      </c>
      <c r="E198" s="56" t="s">
        <v>378</v>
      </c>
      <c r="F198" s="56"/>
      <c r="G198" s="57" t="s">
        <v>3347</v>
      </c>
      <c r="H198" s="64" t="s">
        <v>3348</v>
      </c>
      <c r="I198" s="58">
        <v>46035.0</v>
      </c>
      <c r="J198" s="15"/>
    </row>
    <row r="199" ht="15.75" customHeight="1">
      <c r="A199" s="29" t="str">
        <f t="shared" si="14"/>
        <v>01 - JAN - 26 / 13/01 - TER</v>
      </c>
      <c r="B199" s="55" t="s">
        <v>3349</v>
      </c>
      <c r="C199" s="55" t="s">
        <v>602</v>
      </c>
      <c r="D199" s="56" t="s">
        <v>378</v>
      </c>
      <c r="E199" s="56" t="s">
        <v>378</v>
      </c>
      <c r="F199" s="56"/>
      <c r="G199" s="57" t="s">
        <v>3350</v>
      </c>
      <c r="H199" s="64" t="s">
        <v>3351</v>
      </c>
      <c r="I199" s="58">
        <v>46035.0</v>
      </c>
      <c r="J199" s="15"/>
    </row>
    <row r="200" ht="15.75" customHeight="1">
      <c r="A200" s="29" t="str">
        <f t="shared" si="14"/>
        <v>01 - JAN - 26 / 13/01 - TER</v>
      </c>
      <c r="B200" s="55" t="s">
        <v>3352</v>
      </c>
      <c r="C200" s="55" t="s">
        <v>602</v>
      </c>
      <c r="D200" s="56" t="s">
        <v>378</v>
      </c>
      <c r="E200" s="56" t="s">
        <v>378</v>
      </c>
      <c r="F200" s="56"/>
      <c r="G200" s="57" t="s">
        <v>3353</v>
      </c>
      <c r="H200" s="64" t="s">
        <v>3354</v>
      </c>
      <c r="I200" s="58">
        <v>46035.0</v>
      </c>
      <c r="J200" s="15"/>
    </row>
    <row r="201" ht="15.75" customHeight="1">
      <c r="A201" s="29" t="str">
        <f t="shared" si="14"/>
        <v>01 - JAN - 26 / 13/01 - TER</v>
      </c>
      <c r="B201" s="55" t="s">
        <v>3355</v>
      </c>
      <c r="C201" s="55" t="s">
        <v>602</v>
      </c>
      <c r="D201" s="56" t="s">
        <v>378</v>
      </c>
      <c r="E201" s="56" t="s">
        <v>378</v>
      </c>
      <c r="F201" s="56"/>
      <c r="G201" s="57" t="s">
        <v>3356</v>
      </c>
      <c r="H201" s="64" t="s">
        <v>3357</v>
      </c>
      <c r="I201" s="58">
        <v>46035.0</v>
      </c>
      <c r="J201" s="15"/>
    </row>
    <row r="202" ht="15.75" customHeight="1">
      <c r="A202" s="29" t="str">
        <f t="shared" si="14"/>
        <v>01 - JAN - 26 / 13/01 - TER</v>
      </c>
      <c r="B202" s="55" t="s">
        <v>3358</v>
      </c>
      <c r="C202" s="55" t="s">
        <v>602</v>
      </c>
      <c r="D202" s="56" t="s">
        <v>378</v>
      </c>
      <c r="E202" s="56" t="s">
        <v>378</v>
      </c>
      <c r="F202" s="56"/>
      <c r="G202" s="57" t="s">
        <v>3359</v>
      </c>
      <c r="H202" s="64" t="s">
        <v>3360</v>
      </c>
      <c r="I202" s="58">
        <v>46035.0</v>
      </c>
      <c r="J202" s="15"/>
    </row>
    <row r="203" ht="15.75" customHeight="1">
      <c r="A203" s="37" t="str">
        <f t="shared" ref="A203:A212" si="15">HYPERLINK("https://drive.google.com/drive/folders/1nfIzmX3v3rgxRafDYJO34hKI48CMr5e3", "01 - JAN - 26 / 12/01 - SEG")</f>
        <v>01 - JAN - 26 / 12/01 - SEG</v>
      </c>
      <c r="B203" s="59" t="s">
        <v>3361</v>
      </c>
      <c r="C203" s="59" t="s">
        <v>602</v>
      </c>
      <c r="D203" s="60" t="s">
        <v>378</v>
      </c>
      <c r="E203" s="60" t="s">
        <v>378</v>
      </c>
      <c r="F203" s="60"/>
      <c r="G203" s="61" t="s">
        <v>3362</v>
      </c>
      <c r="H203" s="63" t="s">
        <v>3363</v>
      </c>
      <c r="I203" s="62">
        <v>46035.0</v>
      </c>
      <c r="J203" s="15"/>
    </row>
    <row r="204" ht="15.75" customHeight="1">
      <c r="A204" s="29" t="str">
        <f t="shared" si="15"/>
        <v>01 - JAN - 26 / 12/01 - SEG</v>
      </c>
      <c r="B204" s="55" t="s">
        <v>3364</v>
      </c>
      <c r="C204" s="55" t="s">
        <v>602</v>
      </c>
      <c r="D204" s="56" t="s">
        <v>378</v>
      </c>
      <c r="E204" s="56" t="s">
        <v>378</v>
      </c>
      <c r="F204" s="56"/>
      <c r="G204" s="57" t="s">
        <v>3365</v>
      </c>
      <c r="H204" s="64" t="s">
        <v>3366</v>
      </c>
      <c r="I204" s="58">
        <v>46035.0</v>
      </c>
      <c r="J204" s="15"/>
    </row>
    <row r="205" ht="15.75" customHeight="1">
      <c r="A205" s="29" t="str">
        <f t="shared" si="15"/>
        <v>01 - JAN - 26 / 12/01 - SEG</v>
      </c>
      <c r="B205" s="55" t="s">
        <v>3367</v>
      </c>
      <c r="C205" s="55" t="s">
        <v>602</v>
      </c>
      <c r="D205" s="56" t="s">
        <v>378</v>
      </c>
      <c r="E205" s="56" t="s">
        <v>378</v>
      </c>
      <c r="F205" s="56"/>
      <c r="G205" s="57" t="s">
        <v>3368</v>
      </c>
      <c r="H205" s="64" t="s">
        <v>3369</v>
      </c>
      <c r="I205" s="58">
        <v>46035.0</v>
      </c>
      <c r="J205" s="15"/>
    </row>
    <row r="206" ht="15.75" customHeight="1">
      <c r="A206" s="29" t="str">
        <f t="shared" si="15"/>
        <v>01 - JAN - 26 / 12/01 - SEG</v>
      </c>
      <c r="B206" s="55" t="s">
        <v>3370</v>
      </c>
      <c r="C206" s="55" t="s">
        <v>602</v>
      </c>
      <c r="D206" s="56" t="s">
        <v>378</v>
      </c>
      <c r="E206" s="56" t="s">
        <v>378</v>
      </c>
      <c r="F206" s="56"/>
      <c r="G206" s="57" t="s">
        <v>3371</v>
      </c>
      <c r="H206" s="64" t="s">
        <v>3372</v>
      </c>
      <c r="I206" s="58">
        <v>46035.0</v>
      </c>
      <c r="J206" s="15"/>
    </row>
    <row r="207" ht="15.75" customHeight="1">
      <c r="A207" s="29" t="str">
        <f t="shared" si="15"/>
        <v>01 - JAN - 26 / 12/01 - SEG</v>
      </c>
      <c r="B207" s="55" t="s">
        <v>3373</v>
      </c>
      <c r="C207" s="55" t="s">
        <v>86</v>
      </c>
      <c r="D207" s="56" t="s">
        <v>378</v>
      </c>
      <c r="E207" s="56" t="s">
        <v>378</v>
      </c>
      <c r="F207" s="56"/>
      <c r="G207" s="57" t="s">
        <v>3374</v>
      </c>
      <c r="H207" s="64" t="s">
        <v>3375</v>
      </c>
      <c r="I207" s="58">
        <v>46034.0</v>
      </c>
      <c r="J207" s="15"/>
    </row>
    <row r="208" ht="15.75" customHeight="1">
      <c r="A208" s="29" t="str">
        <f t="shared" si="15"/>
        <v>01 - JAN - 26 / 12/01 - SEG</v>
      </c>
      <c r="B208" s="55" t="s">
        <v>3376</v>
      </c>
      <c r="C208" s="55" t="s">
        <v>86</v>
      </c>
      <c r="D208" s="56" t="s">
        <v>378</v>
      </c>
      <c r="E208" s="56" t="s">
        <v>378</v>
      </c>
      <c r="F208" s="56"/>
      <c r="G208" s="57" t="s">
        <v>3377</v>
      </c>
      <c r="H208" s="64" t="s">
        <v>3378</v>
      </c>
      <c r="I208" s="58">
        <v>46034.0</v>
      </c>
      <c r="J208" s="15"/>
    </row>
    <row r="209" ht="15.75" customHeight="1">
      <c r="A209" s="29" t="str">
        <f t="shared" si="15"/>
        <v>01 - JAN - 26 / 12/01 - SEG</v>
      </c>
      <c r="B209" s="55" t="s">
        <v>3379</v>
      </c>
      <c r="C209" s="55" t="s">
        <v>86</v>
      </c>
      <c r="D209" s="56" t="s">
        <v>378</v>
      </c>
      <c r="E209" s="56" t="s">
        <v>378</v>
      </c>
      <c r="F209" s="56"/>
      <c r="G209" s="57" t="s">
        <v>3380</v>
      </c>
      <c r="H209" s="64" t="s">
        <v>3381</v>
      </c>
      <c r="I209" s="58">
        <v>46034.0</v>
      </c>
      <c r="J209" s="15"/>
    </row>
    <row r="210" ht="15.75" customHeight="1">
      <c r="A210" s="29" t="str">
        <f t="shared" si="15"/>
        <v>01 - JAN - 26 / 12/01 - SEG</v>
      </c>
      <c r="B210" s="55" t="s">
        <v>3382</v>
      </c>
      <c r="C210" s="55" t="s">
        <v>86</v>
      </c>
      <c r="D210" s="56" t="s">
        <v>378</v>
      </c>
      <c r="E210" s="56" t="s">
        <v>378</v>
      </c>
      <c r="F210" s="56"/>
      <c r="G210" s="57" t="s">
        <v>3383</v>
      </c>
      <c r="H210" s="64" t="s">
        <v>3384</v>
      </c>
      <c r="I210" s="58">
        <v>46034.0</v>
      </c>
      <c r="J210" s="15"/>
    </row>
    <row r="211" ht="15.75" customHeight="1">
      <c r="A211" s="29" t="str">
        <f t="shared" si="15"/>
        <v>01 - JAN - 26 / 12/01 - SEG</v>
      </c>
      <c r="B211" s="55" t="s">
        <v>3385</v>
      </c>
      <c r="C211" s="55" t="s">
        <v>86</v>
      </c>
      <c r="D211" s="56" t="s">
        <v>378</v>
      </c>
      <c r="E211" s="56" t="s">
        <v>378</v>
      </c>
      <c r="F211" s="56"/>
      <c r="G211" s="57" t="s">
        <v>3386</v>
      </c>
      <c r="H211" s="64" t="s">
        <v>3387</v>
      </c>
      <c r="I211" s="58">
        <v>46034.0</v>
      </c>
      <c r="J211" s="15"/>
    </row>
    <row r="212" ht="15.75" customHeight="1">
      <c r="A212" s="29" t="str">
        <f t="shared" si="15"/>
        <v>01 - JAN - 26 / 12/01 - SEG</v>
      </c>
      <c r="B212" s="55" t="s">
        <v>3388</v>
      </c>
      <c r="C212" s="55" t="s">
        <v>86</v>
      </c>
      <c r="D212" s="56" t="s">
        <v>378</v>
      </c>
      <c r="E212" s="56" t="s">
        <v>378</v>
      </c>
      <c r="F212" s="56"/>
      <c r="G212" s="57" t="s">
        <v>3389</v>
      </c>
      <c r="H212" s="64" t="s">
        <v>3390</v>
      </c>
      <c r="I212" s="58">
        <v>46034.0</v>
      </c>
      <c r="J212" s="15"/>
    </row>
    <row r="213" ht="15.75" customHeight="1">
      <c r="A213" s="37" t="str">
        <f t="shared" ref="A213:A222" si="16">HYPERLINK("https://drive.google.com/drive/folders/1q2t74eu-bwM4C3yY3mxibT_9HUek9m7Q", "01 - JAN - 26 / 09/01- SEX")</f>
        <v>01 - JAN - 26 / 09/01- SEX</v>
      </c>
      <c r="B213" s="59" t="s">
        <v>3391</v>
      </c>
      <c r="C213" s="59" t="s">
        <v>86</v>
      </c>
      <c r="D213" s="60" t="s">
        <v>378</v>
      </c>
      <c r="E213" s="60" t="s">
        <v>378</v>
      </c>
      <c r="F213" s="60"/>
      <c r="G213" s="61" t="s">
        <v>3392</v>
      </c>
      <c r="H213" s="63" t="s">
        <v>3393</v>
      </c>
      <c r="I213" s="62">
        <v>46031.0</v>
      </c>
      <c r="J213" s="15"/>
    </row>
    <row r="214" ht="15.75" customHeight="1">
      <c r="A214" s="29" t="str">
        <f t="shared" si="16"/>
        <v>01 - JAN - 26 / 09/01- SEX</v>
      </c>
      <c r="B214" s="55" t="s">
        <v>3394</v>
      </c>
      <c r="C214" s="55" t="s">
        <v>86</v>
      </c>
      <c r="D214" s="56" t="s">
        <v>378</v>
      </c>
      <c r="E214" s="56" t="s">
        <v>378</v>
      </c>
      <c r="F214" s="56"/>
      <c r="G214" s="57" t="s">
        <v>3395</v>
      </c>
      <c r="H214" s="64" t="s">
        <v>3396</v>
      </c>
      <c r="I214" s="58">
        <v>46031.0</v>
      </c>
      <c r="J214" s="15"/>
    </row>
    <row r="215" ht="15.75" customHeight="1">
      <c r="A215" s="29" t="str">
        <f t="shared" si="16"/>
        <v>01 - JAN - 26 / 09/01- SEX</v>
      </c>
      <c r="B215" s="55" t="s">
        <v>3397</v>
      </c>
      <c r="C215" s="55" t="s">
        <v>86</v>
      </c>
      <c r="D215" s="56" t="s">
        <v>378</v>
      </c>
      <c r="E215" s="56" t="s">
        <v>378</v>
      </c>
      <c r="F215" s="56"/>
      <c r="G215" s="57" t="s">
        <v>3398</v>
      </c>
      <c r="H215" s="64" t="s">
        <v>3399</v>
      </c>
      <c r="I215" s="58">
        <v>46030.0</v>
      </c>
      <c r="J215" s="15"/>
    </row>
    <row r="216" ht="15.75" customHeight="1">
      <c r="A216" s="29" t="str">
        <f t="shared" si="16"/>
        <v>01 - JAN - 26 / 09/01- SEX</v>
      </c>
      <c r="B216" s="55" t="s">
        <v>3400</v>
      </c>
      <c r="C216" s="55" t="s">
        <v>86</v>
      </c>
      <c r="D216" s="56" t="s">
        <v>378</v>
      </c>
      <c r="E216" s="56" t="s">
        <v>378</v>
      </c>
      <c r="F216" s="56"/>
      <c r="G216" s="57" t="s">
        <v>3401</v>
      </c>
      <c r="H216" s="64" t="s">
        <v>3402</v>
      </c>
      <c r="I216" s="58">
        <v>46030.0</v>
      </c>
      <c r="J216" s="15"/>
    </row>
    <row r="217" ht="15.75" customHeight="1">
      <c r="A217" s="29" t="str">
        <f t="shared" si="16"/>
        <v>01 - JAN - 26 / 09/01- SEX</v>
      </c>
      <c r="B217" s="55" t="s">
        <v>3403</v>
      </c>
      <c r="C217" s="55" t="s">
        <v>86</v>
      </c>
      <c r="D217" s="56" t="s">
        <v>378</v>
      </c>
      <c r="E217" s="56" t="s">
        <v>378</v>
      </c>
      <c r="F217" s="56"/>
      <c r="G217" s="57" t="s">
        <v>3404</v>
      </c>
      <c r="H217" s="64" t="s">
        <v>3405</v>
      </c>
      <c r="I217" s="58">
        <v>46030.0</v>
      </c>
      <c r="J217" s="15"/>
    </row>
    <row r="218" ht="15.75" customHeight="1">
      <c r="A218" s="29" t="str">
        <f t="shared" si="16"/>
        <v>01 - JAN - 26 / 09/01- SEX</v>
      </c>
      <c r="B218" s="55" t="s">
        <v>3406</v>
      </c>
      <c r="C218" s="55" t="s">
        <v>86</v>
      </c>
      <c r="D218" s="56" t="s">
        <v>378</v>
      </c>
      <c r="E218" s="56" t="s">
        <v>378</v>
      </c>
      <c r="F218" s="56"/>
      <c r="G218" s="57" t="s">
        <v>3407</v>
      </c>
      <c r="H218" s="64" t="s">
        <v>3408</v>
      </c>
      <c r="I218" s="58">
        <v>46030.0</v>
      </c>
      <c r="J218" s="15"/>
    </row>
    <row r="219" ht="15.75" customHeight="1">
      <c r="A219" s="29" t="str">
        <f t="shared" si="16"/>
        <v>01 - JAN - 26 / 09/01- SEX</v>
      </c>
      <c r="B219" s="55" t="s">
        <v>3409</v>
      </c>
      <c r="C219" s="55" t="s">
        <v>86</v>
      </c>
      <c r="D219" s="56" t="s">
        <v>378</v>
      </c>
      <c r="E219" s="56" t="s">
        <v>378</v>
      </c>
      <c r="F219" s="56"/>
      <c r="G219" s="57" t="s">
        <v>3410</v>
      </c>
      <c r="H219" s="64" t="s">
        <v>3411</v>
      </c>
      <c r="I219" s="58">
        <v>46030.0</v>
      </c>
      <c r="J219" s="15"/>
    </row>
    <row r="220" ht="15.75" customHeight="1">
      <c r="A220" s="29" t="str">
        <f t="shared" si="16"/>
        <v>01 - JAN - 26 / 09/01- SEX</v>
      </c>
      <c r="B220" s="55" t="s">
        <v>3412</v>
      </c>
      <c r="C220" s="55" t="s">
        <v>86</v>
      </c>
      <c r="D220" s="56" t="s">
        <v>378</v>
      </c>
      <c r="E220" s="56" t="s">
        <v>378</v>
      </c>
      <c r="F220" s="56"/>
      <c r="G220" s="57" t="s">
        <v>3413</v>
      </c>
      <c r="H220" s="64" t="s">
        <v>3414</v>
      </c>
      <c r="I220" s="58">
        <v>46030.0</v>
      </c>
      <c r="J220" s="15"/>
    </row>
    <row r="221" ht="15.75" customHeight="1">
      <c r="A221" s="29" t="str">
        <f t="shared" si="16"/>
        <v>01 - JAN - 26 / 09/01- SEX</v>
      </c>
      <c r="B221" s="55" t="s">
        <v>3415</v>
      </c>
      <c r="C221" s="55" t="s">
        <v>86</v>
      </c>
      <c r="D221" s="56" t="s">
        <v>378</v>
      </c>
      <c r="E221" s="56" t="s">
        <v>378</v>
      </c>
      <c r="F221" s="56"/>
      <c r="G221" s="57" t="s">
        <v>3416</v>
      </c>
      <c r="H221" s="64" t="s">
        <v>3417</v>
      </c>
      <c r="I221" s="58">
        <v>46029.0</v>
      </c>
      <c r="J221" s="15"/>
    </row>
    <row r="222" ht="15.75" customHeight="1">
      <c r="A222" s="29" t="str">
        <f t="shared" si="16"/>
        <v>01 - JAN - 26 / 09/01- SEX</v>
      </c>
      <c r="B222" s="55" t="s">
        <v>3418</v>
      </c>
      <c r="C222" s="55" t="s">
        <v>86</v>
      </c>
      <c r="D222" s="56" t="s">
        <v>378</v>
      </c>
      <c r="E222" s="56" t="s">
        <v>378</v>
      </c>
      <c r="F222" s="56"/>
      <c r="G222" s="57" t="s">
        <v>3419</v>
      </c>
      <c r="H222" s="64" t="s">
        <v>3420</v>
      </c>
      <c r="I222" s="58">
        <v>46029.0</v>
      </c>
      <c r="J222" s="15"/>
    </row>
    <row r="223" ht="15.75" customHeight="1">
      <c r="A223" s="37" t="str">
        <f t="shared" ref="A223:A232" si="17">HYPERLINK("https://drive.google.com/drive/folders/1jeduEbNZSbmEaXX1qgM8EJ5diy7sraOD", "01 - JAN - 26 / 08/01 - QUI")</f>
        <v>01 - JAN - 26 / 08/01 - QUI</v>
      </c>
      <c r="B223" s="59" t="s">
        <v>3421</v>
      </c>
      <c r="C223" s="59" t="s">
        <v>602</v>
      </c>
      <c r="D223" s="60" t="s">
        <v>378</v>
      </c>
      <c r="E223" s="60" t="s">
        <v>378</v>
      </c>
      <c r="F223" s="60"/>
      <c r="G223" s="61" t="s">
        <v>3422</v>
      </c>
      <c r="H223" s="63" t="s">
        <v>3423</v>
      </c>
      <c r="I223" s="62">
        <v>46030.0</v>
      </c>
      <c r="J223" s="15"/>
    </row>
    <row r="224" ht="15.75" customHeight="1">
      <c r="A224" s="29" t="str">
        <f t="shared" si="17"/>
        <v>01 - JAN - 26 / 08/01 - QUI</v>
      </c>
      <c r="B224" s="55" t="s">
        <v>3424</v>
      </c>
      <c r="C224" s="55" t="s">
        <v>602</v>
      </c>
      <c r="D224" s="56" t="s">
        <v>378</v>
      </c>
      <c r="E224" s="56" t="s">
        <v>378</v>
      </c>
      <c r="F224" s="56"/>
      <c r="G224" s="57" t="s">
        <v>3425</v>
      </c>
      <c r="H224" s="64" t="s">
        <v>3426</v>
      </c>
      <c r="I224" s="58">
        <v>46030.0</v>
      </c>
      <c r="J224" s="15"/>
    </row>
    <row r="225" ht="15.75" customHeight="1">
      <c r="A225" s="29" t="str">
        <f t="shared" si="17"/>
        <v>01 - JAN - 26 / 08/01 - QUI</v>
      </c>
      <c r="B225" s="55" t="s">
        <v>3427</v>
      </c>
      <c r="C225" s="55" t="s">
        <v>602</v>
      </c>
      <c r="D225" s="56" t="s">
        <v>378</v>
      </c>
      <c r="E225" s="56" t="s">
        <v>378</v>
      </c>
      <c r="F225" s="56"/>
      <c r="G225" s="57" t="s">
        <v>3428</v>
      </c>
      <c r="H225" s="64" t="s">
        <v>3429</v>
      </c>
      <c r="I225" s="58">
        <v>46030.0</v>
      </c>
      <c r="J225" s="15"/>
    </row>
    <row r="226" ht="15.75" customHeight="1">
      <c r="A226" s="29" t="str">
        <f t="shared" si="17"/>
        <v>01 - JAN - 26 / 08/01 - QUI</v>
      </c>
      <c r="B226" s="55" t="s">
        <v>3430</v>
      </c>
      <c r="C226" s="55" t="s">
        <v>602</v>
      </c>
      <c r="D226" s="56" t="s">
        <v>378</v>
      </c>
      <c r="E226" s="56" t="s">
        <v>378</v>
      </c>
      <c r="F226" s="56"/>
      <c r="G226" s="57" t="s">
        <v>3431</v>
      </c>
      <c r="H226" s="64" t="s">
        <v>3432</v>
      </c>
      <c r="I226" s="58">
        <v>46030.0</v>
      </c>
      <c r="J226" s="15"/>
    </row>
    <row r="227" ht="15.75" customHeight="1">
      <c r="A227" s="29" t="str">
        <f t="shared" si="17"/>
        <v>01 - JAN - 26 / 08/01 - QUI</v>
      </c>
      <c r="B227" s="55" t="s">
        <v>3433</v>
      </c>
      <c r="C227" s="55" t="s">
        <v>602</v>
      </c>
      <c r="D227" s="56" t="s">
        <v>378</v>
      </c>
      <c r="E227" s="56" t="s">
        <v>378</v>
      </c>
      <c r="F227" s="56"/>
      <c r="G227" s="57" t="s">
        <v>3434</v>
      </c>
      <c r="H227" s="64" t="s">
        <v>3435</v>
      </c>
      <c r="I227" s="58">
        <v>46030.0</v>
      </c>
      <c r="J227" s="15"/>
    </row>
    <row r="228" ht="15.75" customHeight="1">
      <c r="A228" s="29" t="str">
        <f t="shared" si="17"/>
        <v>01 - JAN - 26 / 08/01 - QUI</v>
      </c>
      <c r="B228" s="55" t="s">
        <v>3436</v>
      </c>
      <c r="C228" s="55" t="s">
        <v>602</v>
      </c>
      <c r="D228" s="56" t="s">
        <v>378</v>
      </c>
      <c r="E228" s="56" t="s">
        <v>378</v>
      </c>
      <c r="F228" s="56"/>
      <c r="G228" s="57" t="s">
        <v>3437</v>
      </c>
      <c r="H228" s="64" t="s">
        <v>3438</v>
      </c>
      <c r="I228" s="58">
        <v>46030.0</v>
      </c>
      <c r="J228" s="15"/>
    </row>
    <row r="229" ht="15.75" customHeight="1">
      <c r="A229" s="29" t="str">
        <f t="shared" si="17"/>
        <v>01 - JAN - 26 / 08/01 - QUI</v>
      </c>
      <c r="B229" s="55" t="s">
        <v>3439</v>
      </c>
      <c r="C229" s="55" t="s">
        <v>602</v>
      </c>
      <c r="D229" s="56" t="s">
        <v>378</v>
      </c>
      <c r="E229" s="56" t="s">
        <v>378</v>
      </c>
      <c r="F229" s="56"/>
      <c r="G229" s="57" t="s">
        <v>3440</v>
      </c>
      <c r="H229" s="64" t="s">
        <v>3441</v>
      </c>
      <c r="I229" s="58">
        <v>46030.0</v>
      </c>
      <c r="J229" s="15"/>
    </row>
    <row r="230" ht="15.75" customHeight="1">
      <c r="A230" s="29" t="str">
        <f t="shared" si="17"/>
        <v>01 - JAN - 26 / 08/01 - QUI</v>
      </c>
      <c r="B230" s="55" t="s">
        <v>3442</v>
      </c>
      <c r="C230" s="55" t="s">
        <v>602</v>
      </c>
      <c r="D230" s="56" t="s">
        <v>378</v>
      </c>
      <c r="E230" s="56" t="s">
        <v>378</v>
      </c>
      <c r="F230" s="56"/>
      <c r="G230" s="57" t="s">
        <v>3443</v>
      </c>
      <c r="H230" s="64" t="s">
        <v>3444</v>
      </c>
      <c r="I230" s="58">
        <v>46030.0</v>
      </c>
      <c r="J230" s="15"/>
    </row>
    <row r="231" ht="15.75" customHeight="1">
      <c r="A231" s="29" t="str">
        <f t="shared" si="17"/>
        <v>01 - JAN - 26 / 08/01 - QUI</v>
      </c>
      <c r="B231" s="55" t="s">
        <v>3445</v>
      </c>
      <c r="C231" s="55" t="s">
        <v>602</v>
      </c>
      <c r="D231" s="56" t="s">
        <v>378</v>
      </c>
      <c r="E231" s="56" t="s">
        <v>378</v>
      </c>
      <c r="F231" s="56"/>
      <c r="G231" s="57" t="s">
        <v>3446</v>
      </c>
      <c r="H231" s="64" t="s">
        <v>3447</v>
      </c>
      <c r="I231" s="58">
        <v>46030.0</v>
      </c>
      <c r="J231" s="15"/>
    </row>
    <row r="232" ht="15.75" customHeight="1">
      <c r="A232" s="29" t="str">
        <f t="shared" si="17"/>
        <v>01 - JAN - 26 / 08/01 - QUI</v>
      </c>
      <c r="B232" s="55" t="s">
        <v>3448</v>
      </c>
      <c r="C232" s="55" t="s">
        <v>602</v>
      </c>
      <c r="D232" s="56" t="s">
        <v>378</v>
      </c>
      <c r="E232" s="56" t="s">
        <v>378</v>
      </c>
      <c r="F232" s="56"/>
      <c r="G232" s="57" t="s">
        <v>3449</v>
      </c>
      <c r="H232" s="64" t="s">
        <v>3450</v>
      </c>
      <c r="I232" s="58">
        <v>46030.0</v>
      </c>
      <c r="J232" s="15"/>
    </row>
    <row r="233" ht="15.75" customHeight="1">
      <c r="A233" s="37" t="str">
        <f t="shared" ref="A233:A242" si="18">HYPERLINK("https://drive.google.com/drive/folders/1fUvrWNepjem7E0FwGCLiZMUVmbMUR53z", "01 - JAN - 26 / 07/01 - QUA")</f>
        <v>01 - JAN - 26 / 07/01 - QUA</v>
      </c>
      <c r="B233" s="59" t="s">
        <v>3451</v>
      </c>
      <c r="C233" s="59" t="s">
        <v>32</v>
      </c>
      <c r="D233" s="60" t="s">
        <v>378</v>
      </c>
      <c r="E233" s="60" t="s">
        <v>378</v>
      </c>
      <c r="F233" s="60"/>
      <c r="G233" s="61" t="s">
        <v>3452</v>
      </c>
      <c r="H233" s="63" t="s">
        <v>3453</v>
      </c>
      <c r="I233" s="62">
        <v>46029.0</v>
      </c>
      <c r="J233" s="15"/>
    </row>
    <row r="234" ht="15.75" customHeight="1">
      <c r="A234" s="29" t="str">
        <f t="shared" si="18"/>
        <v>01 - JAN - 26 / 07/01 - QUA</v>
      </c>
      <c r="B234" s="55" t="s">
        <v>3454</v>
      </c>
      <c r="C234" s="55" t="s">
        <v>32</v>
      </c>
      <c r="D234" s="56" t="s">
        <v>378</v>
      </c>
      <c r="E234" s="56" t="s">
        <v>378</v>
      </c>
      <c r="F234" s="56"/>
      <c r="G234" s="57" t="s">
        <v>3455</v>
      </c>
      <c r="H234" s="64" t="s">
        <v>3456</v>
      </c>
      <c r="I234" s="58">
        <v>46029.0</v>
      </c>
      <c r="J234" s="15"/>
    </row>
    <row r="235" ht="15.75" customHeight="1">
      <c r="A235" s="29" t="str">
        <f t="shared" si="18"/>
        <v>01 - JAN - 26 / 07/01 - QUA</v>
      </c>
      <c r="B235" s="55" t="s">
        <v>3457</v>
      </c>
      <c r="C235" s="55" t="s">
        <v>32</v>
      </c>
      <c r="D235" s="56" t="s">
        <v>378</v>
      </c>
      <c r="E235" s="56" t="s">
        <v>378</v>
      </c>
      <c r="F235" s="56"/>
      <c r="G235" s="57" t="s">
        <v>3458</v>
      </c>
      <c r="H235" s="64" t="s">
        <v>3459</v>
      </c>
      <c r="I235" s="58">
        <v>46029.0</v>
      </c>
      <c r="J235" s="15"/>
    </row>
    <row r="236" ht="15.75" customHeight="1">
      <c r="A236" s="29" t="str">
        <f t="shared" si="18"/>
        <v>01 - JAN - 26 / 07/01 - QUA</v>
      </c>
      <c r="B236" s="55" t="s">
        <v>3460</v>
      </c>
      <c r="C236" s="55" t="s">
        <v>32</v>
      </c>
      <c r="D236" s="56" t="s">
        <v>378</v>
      </c>
      <c r="E236" s="56" t="s">
        <v>378</v>
      </c>
      <c r="F236" s="56"/>
      <c r="G236" s="57" t="s">
        <v>3461</v>
      </c>
      <c r="H236" s="64" t="s">
        <v>3462</v>
      </c>
      <c r="I236" s="58">
        <v>46029.0</v>
      </c>
      <c r="J236" s="15"/>
    </row>
    <row r="237" ht="15.75" customHeight="1">
      <c r="A237" s="29" t="str">
        <f t="shared" si="18"/>
        <v>01 - JAN - 26 / 07/01 - QUA</v>
      </c>
      <c r="B237" s="55" t="s">
        <v>3463</v>
      </c>
      <c r="C237" s="55" t="s">
        <v>32</v>
      </c>
      <c r="D237" s="56" t="s">
        <v>378</v>
      </c>
      <c r="E237" s="56" t="s">
        <v>378</v>
      </c>
      <c r="F237" s="56"/>
      <c r="G237" s="57" t="s">
        <v>3464</v>
      </c>
      <c r="H237" s="64" t="s">
        <v>3465</v>
      </c>
      <c r="I237" s="58">
        <v>46029.0</v>
      </c>
      <c r="J237" s="15"/>
    </row>
    <row r="238" ht="15.75" customHeight="1">
      <c r="A238" s="29" t="str">
        <f t="shared" si="18"/>
        <v>01 - JAN - 26 / 07/01 - QUA</v>
      </c>
      <c r="B238" s="55" t="s">
        <v>3466</v>
      </c>
      <c r="C238" s="55" t="s">
        <v>32</v>
      </c>
      <c r="D238" s="56" t="s">
        <v>378</v>
      </c>
      <c r="E238" s="56" t="s">
        <v>378</v>
      </c>
      <c r="F238" s="56"/>
      <c r="G238" s="57" t="s">
        <v>3467</v>
      </c>
      <c r="H238" s="64" t="s">
        <v>3468</v>
      </c>
      <c r="I238" s="58">
        <v>46029.0</v>
      </c>
      <c r="J238" s="15"/>
    </row>
    <row r="239" ht="15.75" customHeight="1">
      <c r="A239" s="29" t="str">
        <f t="shared" si="18"/>
        <v>01 - JAN - 26 / 07/01 - QUA</v>
      </c>
      <c r="B239" s="55" t="s">
        <v>3469</v>
      </c>
      <c r="C239" s="55" t="s">
        <v>32</v>
      </c>
      <c r="D239" s="56" t="s">
        <v>378</v>
      </c>
      <c r="E239" s="56" t="s">
        <v>378</v>
      </c>
      <c r="F239" s="56"/>
      <c r="G239" s="57" t="s">
        <v>3470</v>
      </c>
      <c r="H239" s="64" t="s">
        <v>3471</v>
      </c>
      <c r="I239" s="58">
        <v>46029.0</v>
      </c>
      <c r="J239" s="15"/>
    </row>
    <row r="240" ht="15.75" customHeight="1">
      <c r="A240" s="29" t="str">
        <f t="shared" si="18"/>
        <v>01 - JAN - 26 / 07/01 - QUA</v>
      </c>
      <c r="B240" s="55" t="s">
        <v>3472</v>
      </c>
      <c r="C240" s="55" t="s">
        <v>32</v>
      </c>
      <c r="D240" s="56" t="s">
        <v>378</v>
      </c>
      <c r="E240" s="56" t="s">
        <v>378</v>
      </c>
      <c r="F240" s="56"/>
      <c r="G240" s="57" t="s">
        <v>3473</v>
      </c>
      <c r="H240" s="64" t="s">
        <v>3474</v>
      </c>
      <c r="I240" s="58">
        <v>46029.0</v>
      </c>
      <c r="J240" s="15"/>
    </row>
    <row r="241" ht="15.75" customHeight="1">
      <c r="A241" s="29" t="str">
        <f t="shared" si="18"/>
        <v>01 - JAN - 26 / 07/01 - QUA</v>
      </c>
      <c r="B241" s="55" t="s">
        <v>3475</v>
      </c>
      <c r="C241" s="55" t="s">
        <v>32</v>
      </c>
      <c r="D241" s="56" t="s">
        <v>378</v>
      </c>
      <c r="E241" s="56" t="s">
        <v>378</v>
      </c>
      <c r="F241" s="56"/>
      <c r="G241" s="57" t="s">
        <v>3476</v>
      </c>
      <c r="H241" s="64" t="s">
        <v>3477</v>
      </c>
      <c r="I241" s="58">
        <v>46029.0</v>
      </c>
      <c r="J241" s="15"/>
    </row>
    <row r="242" ht="15.75" customHeight="1">
      <c r="A242" s="29" t="str">
        <f t="shared" si="18"/>
        <v>01 - JAN - 26 / 07/01 - QUA</v>
      </c>
      <c r="B242" s="55" t="s">
        <v>3478</v>
      </c>
      <c r="C242" s="55" t="s">
        <v>2729</v>
      </c>
      <c r="D242" s="56" t="s">
        <v>378</v>
      </c>
      <c r="E242" s="56" t="s">
        <v>378</v>
      </c>
      <c r="F242" s="56"/>
      <c r="G242" s="57" t="s">
        <v>3479</v>
      </c>
      <c r="H242" s="64" t="s">
        <v>3480</v>
      </c>
      <c r="I242" s="58">
        <v>46029.0</v>
      </c>
      <c r="J242" s="15"/>
    </row>
    <row r="243" ht="15.75" customHeight="1">
      <c r="A243" s="15"/>
      <c r="B243" s="15"/>
      <c r="C243" s="15"/>
      <c r="D243" s="56"/>
      <c r="E243" s="56"/>
      <c r="F243" s="56"/>
      <c r="G243" s="57"/>
      <c r="H243" s="56"/>
      <c r="I243" s="56"/>
      <c r="J243" s="15"/>
    </row>
    <row r="244" ht="15.75" customHeight="1">
      <c r="A244" s="55"/>
      <c r="B244" s="55"/>
      <c r="C244" s="55"/>
      <c r="D244" s="56"/>
      <c r="E244" s="56"/>
      <c r="F244" s="56"/>
      <c r="G244" s="57"/>
      <c r="H244" s="56"/>
      <c r="I244" s="56"/>
      <c r="J244" s="15"/>
    </row>
    <row r="245" ht="15.75" customHeight="1">
      <c r="A245" s="15"/>
      <c r="B245" s="15"/>
      <c r="C245" s="15"/>
      <c r="D245" s="56"/>
      <c r="E245" s="56"/>
      <c r="F245" s="56"/>
      <c r="G245" s="57"/>
      <c r="H245" s="56"/>
      <c r="I245" s="56"/>
      <c r="J245" s="15"/>
    </row>
    <row r="246" ht="15.75" customHeight="1">
      <c r="A246" s="55"/>
      <c r="B246" s="55"/>
      <c r="C246" s="55"/>
      <c r="D246" s="56"/>
      <c r="E246" s="56"/>
      <c r="F246" s="56"/>
      <c r="G246" s="57"/>
      <c r="H246" s="56"/>
      <c r="I246" s="56"/>
      <c r="J246" s="15"/>
    </row>
    <row r="247" ht="15.75" customHeight="1">
      <c r="A247" s="15"/>
      <c r="B247" s="15"/>
      <c r="C247" s="15"/>
      <c r="D247" s="56"/>
      <c r="E247" s="56"/>
      <c r="F247" s="56"/>
      <c r="G247" s="57"/>
      <c r="H247" s="56"/>
      <c r="I247" s="56"/>
      <c r="J247" s="15"/>
    </row>
    <row r="248" ht="15.75" customHeight="1">
      <c r="A248" s="55"/>
      <c r="B248" s="55"/>
      <c r="C248" s="55"/>
      <c r="D248" s="56"/>
      <c r="E248" s="56"/>
      <c r="F248" s="56"/>
      <c r="G248" s="57"/>
      <c r="H248" s="56"/>
      <c r="I248" s="56"/>
      <c r="J248" s="15"/>
    </row>
    <row r="249" ht="15.75" customHeight="1">
      <c r="A249" s="15"/>
      <c r="B249" s="15"/>
      <c r="C249" s="15"/>
      <c r="D249" s="56"/>
      <c r="E249" s="56"/>
      <c r="F249" s="56"/>
      <c r="G249" s="57"/>
      <c r="H249" s="56"/>
      <c r="I249" s="56"/>
      <c r="J249" s="15"/>
    </row>
    <row r="250" ht="15.75" customHeight="1">
      <c r="A250" s="55"/>
      <c r="B250" s="55"/>
      <c r="C250" s="55"/>
      <c r="D250" s="56"/>
      <c r="E250" s="56"/>
      <c r="F250" s="56"/>
      <c r="G250" s="57"/>
      <c r="H250" s="56"/>
      <c r="I250" s="56"/>
      <c r="J250" s="15"/>
    </row>
    <row r="251" ht="15.75" customHeight="1">
      <c r="A251" s="15"/>
      <c r="B251" s="15"/>
      <c r="C251" s="15"/>
      <c r="D251" s="56"/>
      <c r="E251" s="56"/>
      <c r="F251" s="56"/>
      <c r="G251" s="57"/>
      <c r="H251" s="56"/>
      <c r="I251" s="56"/>
      <c r="J251" s="15"/>
    </row>
    <row r="252" ht="15.75" customHeight="1">
      <c r="A252" s="55"/>
      <c r="B252" s="55"/>
      <c r="C252" s="55"/>
      <c r="D252" s="56"/>
      <c r="E252" s="56"/>
      <c r="F252" s="56"/>
      <c r="G252" s="57"/>
      <c r="H252" s="56"/>
      <c r="I252" s="56"/>
      <c r="J252" s="15"/>
    </row>
    <row r="253" ht="15.75" customHeight="1">
      <c r="A253" s="15"/>
      <c r="B253" s="15"/>
      <c r="C253" s="15"/>
      <c r="D253" s="56"/>
      <c r="E253" s="56"/>
      <c r="F253" s="56"/>
      <c r="G253" s="57"/>
      <c r="H253" s="56"/>
      <c r="I253" s="56"/>
      <c r="J253" s="15"/>
    </row>
    <row r="254" ht="15.75" customHeight="1">
      <c r="A254" s="55"/>
      <c r="B254" s="55"/>
      <c r="C254" s="55"/>
      <c r="D254" s="56"/>
      <c r="E254" s="56"/>
      <c r="F254" s="56"/>
      <c r="G254" s="57"/>
      <c r="H254" s="56"/>
      <c r="I254" s="56"/>
      <c r="J254" s="15"/>
    </row>
    <row r="255" ht="15.75" customHeight="1">
      <c r="A255" s="15"/>
      <c r="B255" s="15"/>
      <c r="C255" s="15"/>
      <c r="D255" s="56"/>
      <c r="E255" s="56"/>
      <c r="F255" s="56"/>
      <c r="G255" s="57"/>
      <c r="H255" s="56"/>
      <c r="I255" s="56"/>
      <c r="J255" s="15"/>
    </row>
    <row r="256" ht="15.75" customHeight="1">
      <c r="A256" s="55"/>
      <c r="B256" s="55"/>
      <c r="C256" s="55"/>
      <c r="D256" s="56"/>
      <c r="E256" s="56"/>
      <c r="F256" s="56"/>
      <c r="G256" s="57"/>
      <c r="H256" s="56"/>
      <c r="I256" s="56"/>
      <c r="J256" s="15"/>
    </row>
    <row r="257" ht="15.75" customHeight="1">
      <c r="A257" s="15"/>
      <c r="B257" s="15"/>
      <c r="C257" s="15"/>
      <c r="D257" s="56"/>
      <c r="E257" s="56"/>
      <c r="F257" s="56"/>
      <c r="G257" s="57"/>
      <c r="H257" s="56"/>
      <c r="I257" s="56"/>
      <c r="J257" s="15"/>
    </row>
    <row r="258" ht="15.75" customHeight="1">
      <c r="A258" s="55"/>
      <c r="B258" s="55"/>
      <c r="C258" s="55"/>
      <c r="D258" s="56"/>
      <c r="E258" s="56"/>
      <c r="F258" s="56"/>
      <c r="G258" s="57"/>
      <c r="H258" s="56"/>
      <c r="I258" s="56"/>
      <c r="J258" s="15"/>
    </row>
    <row r="259" ht="15.75" customHeight="1">
      <c r="A259" s="15"/>
      <c r="B259" s="15"/>
      <c r="C259" s="15"/>
      <c r="D259" s="56"/>
      <c r="E259" s="56"/>
      <c r="F259" s="56"/>
      <c r="G259" s="57"/>
      <c r="H259" s="56"/>
      <c r="I259" s="56"/>
      <c r="J259" s="15"/>
    </row>
    <row r="260" ht="15.75" customHeight="1">
      <c r="A260" s="55"/>
      <c r="B260" s="55"/>
      <c r="C260" s="55"/>
      <c r="D260" s="56"/>
      <c r="E260" s="56"/>
      <c r="F260" s="56"/>
      <c r="G260" s="57"/>
      <c r="H260" s="56"/>
      <c r="I260" s="56"/>
      <c r="J260" s="15"/>
    </row>
    <row r="261" ht="15.75" customHeight="1">
      <c r="A261" s="15"/>
      <c r="B261" s="15"/>
      <c r="C261" s="15"/>
      <c r="D261" s="56"/>
      <c r="E261" s="56"/>
      <c r="F261" s="56"/>
      <c r="G261" s="57"/>
      <c r="H261" s="56"/>
      <c r="I261" s="56"/>
      <c r="J261" s="15"/>
    </row>
    <row r="262" ht="15.75" customHeight="1">
      <c r="A262" s="55"/>
      <c r="B262" s="55"/>
      <c r="C262" s="55"/>
      <c r="D262" s="56"/>
      <c r="E262" s="56"/>
      <c r="F262" s="56"/>
      <c r="G262" s="57"/>
      <c r="H262" s="56"/>
      <c r="I262" s="56"/>
      <c r="J262" s="15"/>
    </row>
    <row r="263" ht="15.75" customHeight="1">
      <c r="A263" s="15"/>
      <c r="B263" s="15"/>
      <c r="C263" s="15"/>
      <c r="D263" s="56"/>
      <c r="E263" s="56"/>
      <c r="F263" s="56"/>
      <c r="G263" s="57"/>
      <c r="H263" s="56"/>
      <c r="I263" s="56"/>
      <c r="J263" s="15"/>
    </row>
    <row r="264" ht="15.75" customHeight="1">
      <c r="A264" s="55"/>
      <c r="B264" s="55"/>
      <c r="C264" s="55"/>
      <c r="D264" s="56"/>
      <c r="E264" s="56"/>
      <c r="F264" s="56"/>
      <c r="G264" s="57"/>
      <c r="H264" s="56"/>
      <c r="I264" s="56"/>
      <c r="J264" s="15"/>
    </row>
    <row r="265" ht="15.75" customHeight="1">
      <c r="A265" s="15"/>
      <c r="B265" s="15"/>
      <c r="C265" s="15"/>
      <c r="D265" s="56"/>
      <c r="E265" s="56"/>
      <c r="F265" s="56"/>
      <c r="G265" s="57"/>
      <c r="H265" s="56"/>
      <c r="I265" s="56"/>
      <c r="J265" s="15"/>
    </row>
    <row r="266" ht="15.75" customHeight="1">
      <c r="A266" s="55"/>
      <c r="B266" s="55"/>
      <c r="C266" s="55"/>
      <c r="D266" s="56"/>
      <c r="E266" s="56"/>
      <c r="F266" s="56"/>
      <c r="G266" s="57"/>
      <c r="H266" s="56"/>
      <c r="I266" s="56"/>
      <c r="J266" s="15"/>
    </row>
    <row r="267" ht="15.75" customHeight="1">
      <c r="A267" s="15"/>
      <c r="B267" s="15"/>
      <c r="C267" s="15"/>
      <c r="D267" s="56"/>
      <c r="E267" s="56"/>
      <c r="F267" s="56"/>
      <c r="G267" s="57"/>
      <c r="H267" s="56"/>
      <c r="I267" s="56"/>
      <c r="J267" s="15"/>
    </row>
    <row r="268" ht="15.75" customHeight="1">
      <c r="A268" s="55"/>
      <c r="B268" s="55"/>
      <c r="C268" s="55"/>
      <c r="D268" s="56"/>
      <c r="E268" s="56"/>
      <c r="F268" s="56"/>
      <c r="G268" s="57"/>
      <c r="H268" s="56"/>
      <c r="I268" s="56"/>
      <c r="J268" s="15"/>
    </row>
    <row r="269" ht="15.75" customHeight="1">
      <c r="A269" s="15"/>
      <c r="B269" s="15"/>
      <c r="C269" s="15"/>
      <c r="D269" s="56"/>
      <c r="E269" s="56"/>
      <c r="F269" s="56"/>
      <c r="G269" s="57"/>
      <c r="H269" s="56"/>
      <c r="I269" s="56"/>
      <c r="J269" s="15"/>
    </row>
    <row r="270" ht="15.75" customHeight="1">
      <c r="A270" s="55"/>
      <c r="B270" s="55"/>
      <c r="C270" s="55"/>
      <c r="D270" s="56"/>
      <c r="E270" s="56"/>
      <c r="F270" s="56"/>
      <c r="G270" s="57"/>
      <c r="H270" s="56"/>
      <c r="I270" s="56"/>
      <c r="J270" s="15"/>
    </row>
    <row r="271" ht="15.75" customHeight="1">
      <c r="A271" s="15"/>
      <c r="B271" s="15"/>
      <c r="C271" s="15"/>
      <c r="D271" s="56"/>
      <c r="E271" s="56"/>
      <c r="F271" s="56"/>
      <c r="G271" s="57"/>
      <c r="H271" s="56"/>
      <c r="I271" s="56"/>
      <c r="J271" s="15"/>
    </row>
    <row r="272" ht="15.75" customHeight="1">
      <c r="A272" s="55"/>
      <c r="B272" s="55"/>
      <c r="C272" s="55"/>
      <c r="D272" s="56"/>
      <c r="E272" s="56"/>
      <c r="F272" s="56"/>
      <c r="G272" s="57"/>
      <c r="H272" s="56"/>
      <c r="I272" s="56"/>
      <c r="J272" s="15"/>
    </row>
    <row r="273" ht="15.75" customHeight="1">
      <c r="A273" s="15"/>
      <c r="B273" s="15"/>
      <c r="C273" s="15"/>
      <c r="D273" s="56"/>
      <c r="E273" s="56"/>
      <c r="F273" s="56"/>
      <c r="G273" s="57"/>
      <c r="H273" s="56"/>
      <c r="I273" s="56"/>
      <c r="J273" s="15"/>
    </row>
    <row r="274" ht="15.75" customHeight="1">
      <c r="A274" s="55"/>
      <c r="B274" s="55"/>
      <c r="C274" s="55"/>
      <c r="D274" s="56"/>
      <c r="E274" s="56"/>
      <c r="F274" s="56"/>
      <c r="G274" s="57"/>
      <c r="H274" s="56"/>
      <c r="I274" s="56"/>
      <c r="J274" s="15"/>
    </row>
    <row r="275" ht="15.75" customHeight="1">
      <c r="A275" s="15"/>
      <c r="B275" s="15"/>
      <c r="C275" s="15"/>
      <c r="D275" s="56"/>
      <c r="E275" s="56"/>
      <c r="F275" s="56"/>
      <c r="G275" s="57"/>
      <c r="H275" s="56"/>
      <c r="I275" s="56"/>
      <c r="J275" s="15"/>
    </row>
    <row r="276" ht="15.75" customHeight="1">
      <c r="A276" s="55"/>
      <c r="B276" s="55"/>
      <c r="C276" s="55"/>
      <c r="D276" s="56"/>
      <c r="E276" s="56"/>
      <c r="F276" s="56"/>
      <c r="G276" s="57"/>
      <c r="H276" s="56"/>
      <c r="I276" s="56"/>
      <c r="J276" s="15"/>
    </row>
    <row r="277" ht="15.75" customHeight="1">
      <c r="A277" s="15"/>
      <c r="B277" s="15"/>
      <c r="C277" s="15"/>
      <c r="D277" s="56"/>
      <c r="E277" s="56"/>
      <c r="F277" s="56"/>
      <c r="G277" s="57"/>
      <c r="H277" s="56"/>
      <c r="I277" s="56"/>
      <c r="J277" s="15"/>
    </row>
    <row r="278" ht="15.75" customHeight="1">
      <c r="A278" s="55"/>
      <c r="B278" s="55"/>
      <c r="C278" s="55"/>
      <c r="D278" s="56"/>
      <c r="E278" s="56"/>
      <c r="F278" s="56"/>
      <c r="G278" s="57"/>
      <c r="H278" s="56"/>
      <c r="I278" s="56"/>
      <c r="J278" s="15"/>
    </row>
    <row r="279" ht="15.75" customHeight="1">
      <c r="A279" s="15"/>
      <c r="B279" s="15"/>
      <c r="C279" s="15"/>
      <c r="D279" s="56"/>
      <c r="E279" s="56"/>
      <c r="F279" s="56"/>
      <c r="G279" s="57"/>
      <c r="H279" s="56"/>
      <c r="I279" s="56"/>
      <c r="J279" s="15"/>
    </row>
    <row r="280" ht="15.75" customHeight="1">
      <c r="A280" s="55"/>
      <c r="B280" s="55"/>
      <c r="C280" s="55"/>
      <c r="D280" s="56"/>
      <c r="E280" s="56"/>
      <c r="F280" s="56"/>
      <c r="G280" s="57"/>
      <c r="H280" s="56"/>
      <c r="I280" s="56"/>
      <c r="J280" s="15"/>
    </row>
    <row r="281" ht="15.75" customHeight="1">
      <c r="A281" s="15"/>
      <c r="B281" s="15"/>
      <c r="C281" s="15"/>
      <c r="D281" s="56"/>
      <c r="E281" s="56"/>
      <c r="F281" s="56"/>
      <c r="G281" s="57"/>
      <c r="H281" s="56"/>
      <c r="I281" s="56"/>
      <c r="J281" s="15"/>
    </row>
    <row r="282" ht="15.75" customHeight="1">
      <c r="A282" s="55"/>
      <c r="B282" s="55"/>
      <c r="C282" s="55"/>
      <c r="D282" s="56"/>
      <c r="E282" s="56"/>
      <c r="F282" s="56"/>
      <c r="G282" s="57"/>
      <c r="H282" s="56"/>
      <c r="I282" s="56"/>
      <c r="J282" s="15"/>
    </row>
    <row r="283" ht="15.75" customHeight="1">
      <c r="A283" s="15"/>
      <c r="B283" s="15"/>
      <c r="C283" s="15"/>
      <c r="D283" s="56"/>
      <c r="E283" s="56"/>
      <c r="F283" s="56"/>
      <c r="G283" s="57"/>
      <c r="H283" s="56"/>
      <c r="I283" s="56"/>
      <c r="J283" s="15"/>
    </row>
    <row r="284" ht="15.75" customHeight="1">
      <c r="A284" s="55"/>
      <c r="B284" s="55"/>
      <c r="C284" s="55"/>
      <c r="D284" s="56"/>
      <c r="E284" s="56"/>
      <c r="F284" s="56"/>
      <c r="G284" s="57"/>
      <c r="H284" s="56"/>
      <c r="I284" s="56"/>
      <c r="J284" s="15"/>
    </row>
    <row r="285" ht="15.75" customHeight="1">
      <c r="A285" s="15"/>
      <c r="B285" s="15"/>
      <c r="C285" s="15"/>
      <c r="D285" s="56"/>
      <c r="E285" s="56"/>
      <c r="F285" s="56"/>
      <c r="G285" s="57"/>
      <c r="H285" s="56"/>
      <c r="I285" s="56"/>
      <c r="J285" s="15"/>
    </row>
    <row r="286" ht="15.75" customHeight="1">
      <c r="A286" s="55"/>
      <c r="B286" s="55"/>
      <c r="C286" s="55"/>
      <c r="D286" s="56"/>
      <c r="E286" s="56"/>
      <c r="F286" s="56"/>
      <c r="G286" s="57"/>
      <c r="H286" s="56"/>
      <c r="I286" s="56"/>
      <c r="J286" s="15"/>
    </row>
    <row r="287" ht="15.75" customHeight="1">
      <c r="A287" s="15"/>
      <c r="B287" s="15"/>
      <c r="C287" s="15"/>
      <c r="D287" s="56"/>
      <c r="E287" s="56"/>
      <c r="F287" s="56"/>
      <c r="G287" s="57"/>
      <c r="H287" s="56"/>
      <c r="I287" s="56"/>
      <c r="J287" s="15"/>
    </row>
    <row r="288" ht="15.75" customHeight="1">
      <c r="A288" s="55"/>
      <c r="B288" s="55"/>
      <c r="C288" s="55"/>
      <c r="D288" s="56"/>
      <c r="E288" s="56"/>
      <c r="F288" s="56"/>
      <c r="G288" s="57"/>
      <c r="H288" s="56"/>
      <c r="I288" s="56"/>
      <c r="J288" s="15"/>
    </row>
    <row r="289" ht="15.75" customHeight="1">
      <c r="A289" s="15"/>
      <c r="B289" s="15"/>
      <c r="C289" s="15"/>
      <c r="D289" s="56"/>
      <c r="E289" s="56"/>
      <c r="F289" s="56"/>
      <c r="G289" s="57"/>
      <c r="H289" s="56"/>
      <c r="I289" s="56"/>
      <c r="J289" s="15"/>
    </row>
    <row r="290" ht="15.75" customHeight="1">
      <c r="A290" s="55"/>
      <c r="B290" s="55"/>
      <c r="C290" s="55"/>
      <c r="D290" s="56"/>
      <c r="E290" s="56"/>
      <c r="F290" s="56"/>
      <c r="G290" s="57"/>
      <c r="H290" s="56"/>
      <c r="I290" s="56"/>
      <c r="J290" s="15"/>
    </row>
    <row r="291" ht="15.75" customHeight="1">
      <c r="A291" s="15"/>
      <c r="B291" s="15"/>
      <c r="C291" s="15"/>
      <c r="D291" s="56"/>
      <c r="E291" s="56"/>
      <c r="F291" s="56"/>
      <c r="G291" s="57"/>
      <c r="H291" s="56"/>
      <c r="I291" s="56"/>
      <c r="J291" s="15"/>
    </row>
    <row r="292" ht="15.75" customHeight="1">
      <c r="A292" s="55"/>
      <c r="B292" s="55"/>
      <c r="C292" s="55"/>
      <c r="D292" s="56"/>
      <c r="E292" s="56"/>
      <c r="F292" s="56"/>
      <c r="G292" s="57"/>
      <c r="H292" s="56"/>
      <c r="I292" s="56"/>
      <c r="J292" s="15"/>
    </row>
    <row r="293" ht="15.75" customHeight="1">
      <c r="A293" s="15"/>
      <c r="B293" s="15"/>
      <c r="C293" s="15"/>
      <c r="D293" s="56"/>
      <c r="E293" s="56"/>
      <c r="F293" s="56"/>
      <c r="G293" s="57"/>
      <c r="H293" s="56"/>
      <c r="I293" s="56"/>
      <c r="J293" s="15"/>
    </row>
    <row r="294" ht="15.75" customHeight="1">
      <c r="A294" s="55"/>
      <c r="B294" s="55"/>
      <c r="C294" s="55"/>
      <c r="D294" s="56"/>
      <c r="E294" s="56"/>
      <c r="F294" s="56"/>
      <c r="G294" s="57"/>
      <c r="H294" s="56"/>
      <c r="I294" s="56"/>
      <c r="J294" s="15"/>
    </row>
    <row r="295" ht="15.75" customHeight="1">
      <c r="A295" s="15"/>
      <c r="B295" s="15"/>
      <c r="C295" s="15"/>
      <c r="D295" s="56"/>
      <c r="E295" s="56"/>
      <c r="F295" s="56"/>
      <c r="G295" s="57"/>
      <c r="H295" s="56"/>
      <c r="I295" s="56"/>
      <c r="J295" s="15"/>
    </row>
    <row r="296" ht="15.75" customHeight="1">
      <c r="A296" s="55"/>
      <c r="B296" s="55"/>
      <c r="C296" s="55"/>
      <c r="D296" s="56"/>
      <c r="E296" s="56"/>
      <c r="F296" s="56"/>
      <c r="G296" s="57"/>
      <c r="H296" s="56"/>
      <c r="I296" s="56"/>
      <c r="J296" s="15"/>
    </row>
    <row r="297" ht="15.75" customHeight="1">
      <c r="A297" s="15"/>
      <c r="B297" s="15"/>
      <c r="C297" s="15"/>
      <c r="D297" s="56"/>
      <c r="E297" s="56"/>
      <c r="F297" s="56"/>
      <c r="G297" s="57"/>
      <c r="H297" s="56"/>
      <c r="I297" s="56"/>
      <c r="J297" s="15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  <c r="J298" s="15"/>
    </row>
    <row r="299" ht="15.75" customHeight="1">
      <c r="A299" s="15"/>
      <c r="B299" s="15"/>
      <c r="C299" s="15"/>
      <c r="D299" s="56"/>
      <c r="E299" s="56"/>
      <c r="F299" s="56"/>
      <c r="G299" s="57"/>
      <c r="H299" s="56"/>
      <c r="I299" s="56"/>
      <c r="J299" s="15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  <c r="J300" s="15"/>
    </row>
    <row r="301" ht="15.75" customHeight="1">
      <c r="A301" s="15"/>
      <c r="B301" s="15"/>
      <c r="C301" s="15"/>
      <c r="D301" s="56"/>
      <c r="E301" s="56"/>
      <c r="F301" s="56"/>
      <c r="G301" s="57"/>
      <c r="H301" s="56"/>
      <c r="I301" s="56"/>
      <c r="J301" s="15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  <c r="J302" s="15"/>
    </row>
    <row r="303" ht="15.75" customHeight="1">
      <c r="A303" s="15"/>
      <c r="B303" s="15"/>
      <c r="C303" s="15"/>
      <c r="D303" s="56"/>
      <c r="E303" s="56"/>
      <c r="F303" s="56"/>
      <c r="G303" s="57"/>
      <c r="H303" s="56"/>
      <c r="I303" s="56"/>
      <c r="J303" s="15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  <c r="J304" s="15"/>
    </row>
    <row r="305" ht="15.75" customHeight="1">
      <c r="A305" s="15"/>
      <c r="B305" s="15"/>
      <c r="C305" s="15"/>
      <c r="D305" s="56"/>
      <c r="E305" s="56"/>
      <c r="F305" s="56"/>
      <c r="G305" s="57"/>
      <c r="H305" s="56"/>
      <c r="I305" s="56"/>
      <c r="J305" s="15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  <c r="J306" s="15"/>
    </row>
    <row r="307" ht="15.75" customHeight="1">
      <c r="A307" s="15"/>
      <c r="B307" s="15"/>
      <c r="C307" s="15"/>
      <c r="D307" s="56"/>
      <c r="E307" s="56"/>
      <c r="F307" s="56"/>
      <c r="G307" s="57"/>
      <c r="H307" s="56"/>
      <c r="I307" s="56"/>
      <c r="J307" s="15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  <c r="J308" s="15"/>
    </row>
    <row r="309" ht="15.75" customHeight="1">
      <c r="A309" s="15"/>
      <c r="B309" s="15"/>
      <c r="C309" s="15"/>
      <c r="D309" s="56"/>
      <c r="E309" s="56"/>
      <c r="F309" s="56"/>
      <c r="G309" s="57"/>
      <c r="H309" s="56"/>
      <c r="I309" s="56"/>
      <c r="J309" s="15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  <c r="J310" s="15"/>
    </row>
    <row r="311" ht="15.75" customHeight="1">
      <c r="A311" s="15"/>
      <c r="B311" s="15"/>
      <c r="C311" s="15"/>
      <c r="D311" s="56"/>
      <c r="E311" s="56"/>
      <c r="F311" s="56"/>
      <c r="G311" s="57"/>
      <c r="H311" s="56"/>
      <c r="I311" s="56"/>
      <c r="J311" s="15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  <c r="J312" s="15"/>
    </row>
    <row r="313" ht="15.75" customHeight="1">
      <c r="A313" s="15"/>
      <c r="B313" s="15"/>
      <c r="C313" s="15"/>
      <c r="D313" s="56"/>
      <c r="E313" s="56"/>
      <c r="F313" s="56"/>
      <c r="G313" s="57"/>
      <c r="H313" s="56"/>
      <c r="I313" s="56"/>
      <c r="J313" s="15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  <c r="J314" s="15"/>
    </row>
    <row r="315" ht="15.75" customHeight="1">
      <c r="A315" s="15"/>
      <c r="B315" s="15"/>
      <c r="C315" s="15"/>
      <c r="D315" s="56"/>
      <c r="E315" s="56"/>
      <c r="F315" s="56"/>
      <c r="G315" s="57"/>
      <c r="H315" s="56"/>
      <c r="I315" s="56"/>
      <c r="J315" s="15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  <c r="J316" s="15"/>
    </row>
    <row r="317" ht="15.75" customHeight="1">
      <c r="A317" s="15"/>
      <c r="B317" s="15"/>
      <c r="C317" s="15"/>
      <c r="D317" s="56"/>
      <c r="E317" s="56"/>
      <c r="F317" s="56"/>
      <c r="G317" s="57"/>
      <c r="H317" s="56"/>
      <c r="I317" s="56"/>
      <c r="J317" s="15"/>
    </row>
    <row r="318" ht="15.75" customHeight="1">
      <c r="A318" s="55"/>
      <c r="B318" s="55"/>
      <c r="C318" s="55"/>
      <c r="D318" s="56"/>
      <c r="E318" s="56"/>
      <c r="F318" s="56"/>
      <c r="G318" s="57"/>
      <c r="H318" s="56"/>
      <c r="I318" s="56"/>
      <c r="J318" s="15"/>
    </row>
    <row r="319" ht="15.75" customHeight="1">
      <c r="A319" s="15"/>
      <c r="B319" s="15"/>
      <c r="C319" s="15"/>
      <c r="D319" s="56"/>
      <c r="E319" s="56"/>
      <c r="F319" s="56"/>
      <c r="G319" s="57"/>
      <c r="H319" s="56"/>
      <c r="I319" s="56"/>
      <c r="J319" s="15"/>
    </row>
    <row r="320" ht="15.75" customHeight="1">
      <c r="A320" s="55"/>
      <c r="B320" s="55"/>
      <c r="C320" s="55"/>
      <c r="D320" s="56"/>
      <c r="E320" s="56"/>
      <c r="F320" s="56"/>
      <c r="G320" s="57"/>
      <c r="H320" s="56"/>
      <c r="I320" s="56"/>
      <c r="J320" s="15"/>
    </row>
    <row r="321" ht="15.75" customHeight="1">
      <c r="A321" s="15"/>
      <c r="B321" s="15"/>
      <c r="C321" s="15"/>
      <c r="D321" s="56"/>
      <c r="E321" s="56"/>
      <c r="F321" s="56"/>
      <c r="G321" s="57"/>
      <c r="H321" s="56"/>
      <c r="I321" s="56"/>
      <c r="J321" s="15"/>
    </row>
    <row r="322" ht="15.75" customHeight="1">
      <c r="A322" s="55"/>
      <c r="B322" s="55"/>
      <c r="C322" s="55"/>
      <c r="D322" s="56"/>
      <c r="E322" s="56"/>
      <c r="F322" s="56"/>
      <c r="G322" s="57"/>
      <c r="H322" s="56"/>
      <c r="I322" s="56"/>
      <c r="J322" s="15"/>
    </row>
    <row r="323" ht="15.75" customHeight="1">
      <c r="A323" s="15"/>
      <c r="B323" s="15"/>
      <c r="C323" s="15"/>
      <c r="D323" s="56"/>
      <c r="E323" s="56"/>
      <c r="F323" s="56"/>
      <c r="G323" s="57"/>
      <c r="H323" s="56"/>
      <c r="I323" s="56"/>
      <c r="J323" s="15"/>
    </row>
    <row r="324" ht="15.75" customHeight="1">
      <c r="A324" s="55"/>
      <c r="B324" s="55"/>
      <c r="C324" s="55"/>
      <c r="D324" s="56"/>
      <c r="E324" s="56"/>
      <c r="F324" s="56"/>
      <c r="G324" s="57"/>
      <c r="H324" s="56"/>
      <c r="I324" s="56"/>
      <c r="J324" s="15"/>
    </row>
    <row r="325" ht="15.75" customHeight="1">
      <c r="A325" s="15"/>
      <c r="B325" s="15"/>
      <c r="C325" s="15"/>
      <c r="D325" s="56"/>
      <c r="E325" s="56"/>
      <c r="F325" s="56"/>
      <c r="G325" s="57"/>
      <c r="H325" s="56"/>
      <c r="I325" s="56"/>
      <c r="J325" s="15"/>
    </row>
    <row r="326" ht="15.75" customHeight="1">
      <c r="A326" s="65" t="s">
        <v>3481</v>
      </c>
      <c r="J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mergeCells count="2">
    <mergeCell ref="A1:G1"/>
    <mergeCell ref="A326:I326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3"/>
    <hyperlink r:id="rId2" ref="H64"/>
    <hyperlink r:id="rId3" ref="H65"/>
    <hyperlink r:id="rId4" ref="H66"/>
    <hyperlink r:id="rId5" ref="H67"/>
    <hyperlink r:id="rId6" ref="H68"/>
    <hyperlink r:id="rId7" ref="H69"/>
    <hyperlink r:id="rId8" ref="H70"/>
    <hyperlink r:id="rId9" ref="H71"/>
    <hyperlink r:id="rId10" ref="H72"/>
    <hyperlink r:id="rId11" ref="H73"/>
    <hyperlink r:id="rId12" ref="H74"/>
    <hyperlink r:id="rId13" ref="H75"/>
    <hyperlink r:id="rId14" ref="H76"/>
    <hyperlink r:id="rId15" ref="H77"/>
    <hyperlink r:id="rId16" ref="H78"/>
    <hyperlink r:id="rId17" ref="H79"/>
    <hyperlink r:id="rId18" ref="H80"/>
    <hyperlink r:id="rId19" ref="H81"/>
    <hyperlink r:id="rId20" ref="H82"/>
    <hyperlink r:id="rId21" ref="H83"/>
    <hyperlink r:id="rId22" ref="H84"/>
    <hyperlink r:id="rId23" ref="H85"/>
    <hyperlink r:id="rId24" ref="H86"/>
    <hyperlink r:id="rId25" ref="H87"/>
    <hyperlink r:id="rId26" ref="H88"/>
    <hyperlink r:id="rId27" ref="H89"/>
    <hyperlink r:id="rId28" ref="H90"/>
    <hyperlink r:id="rId29" ref="H91"/>
    <hyperlink r:id="rId30" ref="H92"/>
    <hyperlink r:id="rId31" ref="H93"/>
    <hyperlink r:id="rId32" ref="H94"/>
    <hyperlink r:id="rId33" ref="H95"/>
    <hyperlink r:id="rId34" ref="H96"/>
    <hyperlink r:id="rId35" ref="H97"/>
    <hyperlink r:id="rId36" ref="H98"/>
    <hyperlink r:id="rId37" ref="H99"/>
    <hyperlink r:id="rId38" ref="H100"/>
    <hyperlink r:id="rId39" ref="H101"/>
    <hyperlink r:id="rId40" ref="H102"/>
    <hyperlink r:id="rId41" ref="H103"/>
    <hyperlink r:id="rId42" ref="H104"/>
    <hyperlink r:id="rId43" ref="H105"/>
    <hyperlink r:id="rId44" ref="H106"/>
    <hyperlink r:id="rId45" ref="H107"/>
    <hyperlink r:id="rId46" ref="H108"/>
    <hyperlink r:id="rId47" ref="H109"/>
    <hyperlink r:id="rId48" ref="H110"/>
    <hyperlink r:id="rId49" ref="H111"/>
    <hyperlink r:id="rId50" ref="H112"/>
    <hyperlink r:id="rId51" ref="H113"/>
    <hyperlink r:id="rId52" ref="H114"/>
    <hyperlink r:id="rId53" ref="H115"/>
    <hyperlink r:id="rId54" ref="H116"/>
    <hyperlink r:id="rId55" ref="H117"/>
    <hyperlink r:id="rId56" ref="H118"/>
    <hyperlink r:id="rId57" ref="H119"/>
    <hyperlink r:id="rId58" ref="H120"/>
    <hyperlink r:id="rId59" ref="H121"/>
    <hyperlink r:id="rId60" ref="H122"/>
    <hyperlink r:id="rId61" ref="H123"/>
    <hyperlink r:id="rId62" ref="H124"/>
    <hyperlink r:id="rId63" ref="H125"/>
    <hyperlink r:id="rId64" ref="H126"/>
    <hyperlink r:id="rId65" ref="H127"/>
    <hyperlink r:id="rId66" ref="H128"/>
    <hyperlink r:id="rId67" ref="H129"/>
    <hyperlink r:id="rId68" ref="H130"/>
    <hyperlink r:id="rId69" ref="H131"/>
    <hyperlink r:id="rId70" ref="H132"/>
    <hyperlink r:id="rId71" ref="H133"/>
    <hyperlink r:id="rId72" ref="H134"/>
    <hyperlink r:id="rId73" ref="H135"/>
    <hyperlink r:id="rId74" ref="H136"/>
    <hyperlink r:id="rId75" ref="H137"/>
    <hyperlink r:id="rId76" ref="H138"/>
    <hyperlink r:id="rId77" ref="H139"/>
    <hyperlink r:id="rId78" ref="H140"/>
    <hyperlink r:id="rId79" ref="H141"/>
    <hyperlink r:id="rId80" ref="H142"/>
    <hyperlink r:id="rId81" ref="H143"/>
    <hyperlink r:id="rId82" ref="H144"/>
    <hyperlink r:id="rId83" ref="H145"/>
    <hyperlink r:id="rId84" ref="H146"/>
    <hyperlink r:id="rId85" ref="H147"/>
    <hyperlink r:id="rId86" ref="H148"/>
    <hyperlink r:id="rId87" ref="H149"/>
    <hyperlink r:id="rId88" ref="H150"/>
    <hyperlink r:id="rId89" ref="H151"/>
    <hyperlink r:id="rId90" ref="H152"/>
    <hyperlink r:id="rId91" ref="H153"/>
    <hyperlink r:id="rId92" ref="H154"/>
    <hyperlink r:id="rId93" ref="H155"/>
    <hyperlink r:id="rId94" ref="H156"/>
    <hyperlink r:id="rId95" ref="H157"/>
    <hyperlink r:id="rId96" ref="H158"/>
    <hyperlink r:id="rId97" ref="H159"/>
    <hyperlink r:id="rId98" ref="H160"/>
    <hyperlink r:id="rId99" ref="H161"/>
    <hyperlink r:id="rId100" ref="H162"/>
    <hyperlink r:id="rId101" ref="H163"/>
    <hyperlink r:id="rId102" ref="H164"/>
    <hyperlink r:id="rId103" ref="H165"/>
    <hyperlink r:id="rId104" ref="H166"/>
    <hyperlink r:id="rId105" ref="H167"/>
    <hyperlink r:id="rId106" ref="H168"/>
    <hyperlink r:id="rId107" ref="H169"/>
    <hyperlink r:id="rId108" ref="H170"/>
    <hyperlink r:id="rId109" ref="H171"/>
    <hyperlink r:id="rId110" ref="H172"/>
    <hyperlink r:id="rId111" ref="H173"/>
    <hyperlink r:id="rId112" ref="H174"/>
    <hyperlink r:id="rId113" ref="H175"/>
    <hyperlink r:id="rId114" ref="H176"/>
    <hyperlink r:id="rId115" ref="H177"/>
    <hyperlink r:id="rId116" ref="H178"/>
    <hyperlink r:id="rId117" ref="H179"/>
    <hyperlink r:id="rId118" ref="H180"/>
    <hyperlink r:id="rId119" ref="H181"/>
    <hyperlink r:id="rId120" ref="H182"/>
    <hyperlink r:id="rId121" ref="H183"/>
    <hyperlink r:id="rId122" ref="H184"/>
    <hyperlink r:id="rId123" ref="H185"/>
    <hyperlink r:id="rId124" ref="H186"/>
    <hyperlink r:id="rId125" ref="H187"/>
    <hyperlink r:id="rId126" ref="H188"/>
    <hyperlink r:id="rId127" ref="H189"/>
    <hyperlink r:id="rId128" ref="H190"/>
    <hyperlink r:id="rId129" ref="H191"/>
    <hyperlink r:id="rId130" ref="H192"/>
    <hyperlink r:id="rId131" ref="H193"/>
    <hyperlink r:id="rId132" ref="H194"/>
    <hyperlink r:id="rId133" ref="H195"/>
    <hyperlink r:id="rId134" ref="H196"/>
    <hyperlink r:id="rId135" ref="H197"/>
    <hyperlink r:id="rId136" ref="H198"/>
    <hyperlink r:id="rId137" ref="H199"/>
    <hyperlink r:id="rId138" ref="H200"/>
    <hyperlink r:id="rId139" ref="H201"/>
    <hyperlink r:id="rId140" ref="H202"/>
    <hyperlink r:id="rId141" ref="H203"/>
    <hyperlink r:id="rId142" ref="H204"/>
    <hyperlink r:id="rId143" ref="H205"/>
    <hyperlink r:id="rId144" ref="H206"/>
    <hyperlink r:id="rId145" ref="H207"/>
    <hyperlink r:id="rId146" ref="H208"/>
    <hyperlink r:id="rId147" ref="H209"/>
    <hyperlink r:id="rId148" ref="H210"/>
    <hyperlink r:id="rId149" ref="H211"/>
    <hyperlink r:id="rId150" ref="H212"/>
    <hyperlink r:id="rId151" ref="H213"/>
    <hyperlink r:id="rId152" ref="H214"/>
    <hyperlink r:id="rId153" ref="H215"/>
    <hyperlink r:id="rId154" ref="H216"/>
    <hyperlink r:id="rId155" ref="H217"/>
    <hyperlink r:id="rId156" ref="H218"/>
    <hyperlink r:id="rId157" ref="H219"/>
    <hyperlink r:id="rId158" ref="H220"/>
    <hyperlink r:id="rId159" ref="H221"/>
    <hyperlink r:id="rId160" ref="H222"/>
    <hyperlink r:id="rId161" ref="H223"/>
    <hyperlink r:id="rId162" ref="H224"/>
    <hyperlink r:id="rId163" ref="H225"/>
    <hyperlink r:id="rId164" ref="H226"/>
    <hyperlink r:id="rId165" ref="H227"/>
    <hyperlink r:id="rId166" ref="H228"/>
    <hyperlink r:id="rId167" ref="H229"/>
    <hyperlink r:id="rId168" ref="H230"/>
    <hyperlink r:id="rId169" ref="H231"/>
    <hyperlink r:id="rId170" ref="H232"/>
    <hyperlink r:id="rId171" ref="H233"/>
    <hyperlink r:id="rId172" ref="H234"/>
    <hyperlink r:id="rId173" ref="H235"/>
    <hyperlink r:id="rId174" ref="H236"/>
    <hyperlink r:id="rId175" ref="H237"/>
    <hyperlink r:id="rId176" ref="H238"/>
    <hyperlink r:id="rId177" ref="H239"/>
    <hyperlink r:id="rId178" ref="H240"/>
    <hyperlink r:id="rId179" ref="H241"/>
    <hyperlink r:id="rId180" ref="H242"/>
  </hyperlinks>
  <printOptions/>
  <pageMargins bottom="1.0" footer="0.0" header="0.0" left="0.75" right="0.75" top="1.0"/>
  <pageSetup orientation="landscape"/>
  <drawing r:id="rId181"/>
</worksheet>
</file>